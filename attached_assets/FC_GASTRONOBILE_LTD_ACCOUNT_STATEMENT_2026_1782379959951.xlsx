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na\Desktop\"/>
    </mc:Choice>
  </mc:AlternateContent>
  <xr:revisionPtr revIDLastSave="0" documentId="8_{D56BE8A5-6916-4B67-883D-E4F71C13C40A}" xr6:coauthVersionLast="47" xr6:coauthVersionMax="47" xr10:uidLastSave="{00000000-0000-0000-0000-000000000000}"/>
  <bookViews>
    <workbookView xWindow="-110" yWindow="-110" windowWidth="19420" windowHeight="10420" firstSheet="1" xr2:uid="{A3AF0B91-FECF-4E3C-9AB0-4A1B4A0E69C0}"/>
  </bookViews>
  <sheets>
    <sheet name="SC MAR AZUL LTD" sheetId="1" r:id="rId1"/>
    <sheet name="THEOSKEPASTI BEACH FLATS LTD" sheetId="2" r:id="rId2"/>
    <sheet name="MINTHIS CLUBHOUSE LTD" sheetId="3" r:id="rId3"/>
    <sheet name="M.L.P.K LIMITED" sheetId="4" r:id="rId4"/>
  </sheets>
  <definedNames>
    <definedName name="_xlnm.Print_Area" localSheetId="3">'M.L.P.K LIMITED'!$A$1:$J$21</definedName>
    <definedName name="_xlnm.Print_Area" localSheetId="2">'MINTHIS CLUBHOUSE LTD'!$A$1:$J$20</definedName>
    <definedName name="_xlnm.Print_Area" localSheetId="0">'SC MAR AZUL LTD'!$A$1:$J$38</definedName>
    <definedName name="_xlnm.Print_Area" localSheetId="1">'THEOSKEPASTI BEACH FLATS LTD'!$A$1:$J$25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1" i="1" l="1"/>
  <c r="F17" i="2"/>
  <c r="J16" i="2"/>
  <c r="H31" i="1"/>
  <c r="H17" i="2"/>
  <c r="J17" i="2" l="1"/>
  <c r="J11" i="4"/>
  <c r="H15" i="4"/>
  <c r="J15" i="4" s="1"/>
  <c r="F15" i="4"/>
  <c r="J12" i="4"/>
  <c r="J13" i="4" s="1"/>
  <c r="J31" i="1" l="1"/>
  <c r="J13" i="3"/>
  <c r="H13" i="3"/>
  <c r="F13" i="3"/>
  <c r="J11" i="3"/>
  <c r="J10" i="2"/>
  <c r="J11" i="2" s="1"/>
  <c r="J12" i="2" s="1"/>
  <c r="J13" i="2" s="1"/>
  <c r="J14" i="2" s="1"/>
  <c r="J15" i="2" s="1"/>
  <c r="J10" i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</calcChain>
</file>

<file path=xl/sharedStrings.xml><?xml version="1.0" encoding="utf-8"?>
<sst xmlns="http://schemas.openxmlformats.org/spreadsheetml/2006/main" count="87" uniqueCount="55">
  <si>
    <t>Engomi 2408, Nicosia, Cyprus</t>
  </si>
  <si>
    <t>STATEMENT OF ACCOUNT 2026</t>
  </si>
  <si>
    <t>SC MAR AZUL LIMITED</t>
  </si>
  <si>
    <t>VAT No.: 60025996P</t>
  </si>
  <si>
    <t>DATE</t>
  </si>
  <si>
    <t>DOCUMENT</t>
  </si>
  <si>
    <t>DEBIT</t>
  </si>
  <si>
    <t>CREDIT</t>
  </si>
  <si>
    <t>BALANCE</t>
  </si>
  <si>
    <t>FC GASTRONOBILE LTD</t>
  </si>
  <si>
    <t>HE 487597</t>
  </si>
  <si>
    <t>Georgiou Pilatou, 11
5510, Famagusta, Cyprus</t>
  </si>
  <si>
    <t>TOTAL</t>
  </si>
  <si>
    <t>THEOSKEPASTI BEACH FLATS LTD</t>
  </si>
  <si>
    <t>INV. P / 3</t>
  </si>
  <si>
    <t>INV. P / 8</t>
  </si>
  <si>
    <t>VAT no: 10007375ST</t>
  </si>
  <si>
    <t>MINTHIS CLUBHOUSE LTD</t>
  </si>
  <si>
    <t>VAT number: 10282219D</t>
  </si>
  <si>
    <t xml:space="preserve">Nikodimou Mylona S/33, Pafos 8047 </t>
  </si>
  <si>
    <t>INV. P / 9</t>
  </si>
  <si>
    <t>Georgiou Pilatou, 11</t>
  </si>
  <si>
    <t>5510, Famagusta, Cyprus</t>
  </si>
  <si>
    <t>INV. P / 13</t>
  </si>
  <si>
    <t>RECEIPT No. 1/2026</t>
  </si>
  <si>
    <t>M.L.P.K LTD</t>
  </si>
  <si>
    <t>VAT: CY10438229V</t>
  </si>
  <si>
    <t>HE: 438229</t>
  </si>
  <si>
    <t>RECEIPT No. 2/2026</t>
  </si>
  <si>
    <t>INV. P / 6 (NICOSIA RESTAURANT)</t>
  </si>
  <si>
    <t>INV. P / 4 (AYIA NAPA RESTAURANT)</t>
  </si>
  <si>
    <t>INV. P / 5 (NICOSIA RESTAURANT)</t>
  </si>
  <si>
    <t>INV. P / 7 (AYIA NAPA RESTAURANT)</t>
  </si>
  <si>
    <t>INV. P / 10 (NICOSIA RESTAURANT)</t>
  </si>
  <si>
    <t>INV. P / 11 (AYIA NAPA RESTAURANT)</t>
  </si>
  <si>
    <t>INV. P / 12</t>
  </si>
  <si>
    <t>13/5/2026</t>
  </si>
  <si>
    <t>RECEIPT No. 3/2026</t>
  </si>
  <si>
    <t>INV. P / 1 (AYIA NAPA RESTAURANT)</t>
  </si>
  <si>
    <t>INV. P / 2 (NICOSIA RESTAURANT)</t>
  </si>
  <si>
    <t>INV. P / 14 (AYIA NAPA RESTAURANT)</t>
  </si>
  <si>
    <t>INV. P / 15 (NICOSIA RESTAURANT)</t>
  </si>
  <si>
    <t>INV. P / 16</t>
  </si>
  <si>
    <t>INV. P / 17 (AYIA NAPA RESTAURANT)</t>
  </si>
  <si>
    <t>INV. P / 20</t>
  </si>
  <si>
    <t>CN-1 2026 (NICOSIA RESTAURANT)</t>
  </si>
  <si>
    <t>INV. P / 18 (NICOSIA RESTAURANT)</t>
  </si>
  <si>
    <t>INV. P / 19 (AYIA NAPA RESTAURANT)</t>
  </si>
  <si>
    <t>INV. P / 21 (AYIA NAPA RESTAURANT)</t>
  </si>
  <si>
    <t>INV. P / 22 (NICOSIA RESTAURANT)</t>
  </si>
  <si>
    <t>INV. P / 23 (AYIA NAPA RESTAURANT)</t>
  </si>
  <si>
    <t>INV. P / 24 (NICOSIA RESTAURANT)</t>
  </si>
  <si>
    <t>INV. P / 25</t>
  </si>
  <si>
    <t>INV. P / 26 (AYIA NAPA RESTAURANT)</t>
  </si>
  <si>
    <t>INV. P / 27 (NICOSIA RESTAURANT)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</si>
</sst>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\ &quot;€&quot;"/>
    <numFmt numFmtId="165" formatCode="dd/mm/yyyy"/>
    <numFmt numFmtId="166" formatCode="#,##0.00\ \€"/>
  </numFmts>
  <fonts count="14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charset val="161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charset val="161"/>
      <scheme val="minor"/>
    </font>
    <font>
      <i/>
      <sz val="10"/>
      <color theme="1"/>
      <name val="Aptos Narrow"/>
      <family val="2"/>
      <charset val="161"/>
      <scheme val="minor"/>
    </font>
    <font>
      <sz val="9"/>
      <color theme="1"/>
      <name val="Aptos Narrow"/>
      <family val="2"/>
      <charset val="161"/>
      <scheme val="minor"/>
    </font>
    <font>
      <b/>
      <sz val="16"/>
      <color rgb="FFFFFFFF"/>
      <name val="Aptos Narrow"/>
      <family val="2"/>
      <charset val="161"/>
      <scheme val="minor"/>
    </font>
    <font>
      <b/>
      <sz val="12"/>
      <color theme="1"/>
      <name val="Aptos Narrow"/>
      <family val="2"/>
      <charset val="161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charset val="16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double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3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left"/>
    </xf>
    <xf numFmtId="0" fontId="3" fillId="4" borderId="10" xfId="0" applyFont="1" applyFill="1" applyBorder="1"/>
    <xf numFmtId="0" fontId="1" fillId="4" borderId="10" xfId="0" applyFont="1" applyFill="1" applyBorder="1"/>
    <xf numFmtId="164" fontId="1" fillId="3" borderId="7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8" fontId="3" fillId="4" borderId="10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4" fontId="3" fillId="4" borderId="10" xfId="0" applyNumberFormat="1" applyFont="1" applyFill="1" applyBorder="1" applyAlignment="1">
      <alignment horizontal="right"/>
    </xf>
    <xf numFmtId="14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8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8" fontId="0" fillId="0" borderId="0" xfId="0" applyNumberFormat="1" applyAlignment="1">
      <alignment horizontal="right"/>
    </xf>
    <xf numFmtId="0" fontId="1" fillId="4" borderId="10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right"/>
    </xf>
    <xf numFmtId="166" fontId="1" fillId="4" borderId="10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5" fontId="7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5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0" fillId="5" borderId="0" xfId="0" applyFill="1"/>
    <xf numFmtId="164" fontId="0" fillId="5" borderId="0" xfId="0" applyNumberFormat="1" applyFill="1" applyAlignment="1">
      <alignment horizontal="right"/>
    </xf>
    <xf numFmtId="0" fontId="6" fillId="5" borderId="0" xfId="0" applyFont="1" applyFill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2" xfId="0" applyFont="1" applyFill="1" applyBorder="1"/>
    <xf numFmtId="0" fontId="2" fillId="5" borderId="2" xfId="0" applyFont="1" applyFill="1" applyBorder="1" applyAlignment="1">
      <alignment horizontal="left"/>
    </xf>
    <xf numFmtId="0" fontId="0" fillId="5" borderId="2" xfId="0" applyFill="1" applyBorder="1"/>
    <xf numFmtId="164" fontId="0" fillId="5" borderId="2" xfId="0" applyNumberFormat="1" applyFill="1" applyBorder="1" applyAlignment="1">
      <alignment horizontal="right"/>
    </xf>
    <xf numFmtId="164" fontId="11" fillId="5" borderId="2" xfId="0" applyNumberFormat="1" applyFont="1" applyFill="1" applyBorder="1" applyAlignment="1">
      <alignment horizontal="right"/>
    </xf>
    <xf numFmtId="164" fontId="0" fillId="5" borderId="3" xfId="0" applyNumberFormat="1" applyFill="1" applyBorder="1" applyAlignment="1">
      <alignment horizontal="right"/>
    </xf>
    <xf numFmtId="0" fontId="2" fillId="5" borderId="4" xfId="0" applyFont="1" applyFill="1" applyBorder="1" applyAlignment="1">
      <alignment horizontal="left"/>
    </xf>
    <xf numFmtId="0" fontId="1" fillId="5" borderId="5" xfId="0" applyFont="1" applyFill="1" applyBorder="1"/>
    <xf numFmtId="0" fontId="0" fillId="5" borderId="5" xfId="0" applyFill="1" applyBorder="1" applyAlignment="1">
      <alignment horizontal="left"/>
    </xf>
    <xf numFmtId="0" fontId="0" fillId="5" borderId="5" xfId="0" applyFill="1" applyBorder="1"/>
    <xf numFmtId="164" fontId="0" fillId="5" borderId="5" xfId="0" applyNumberFormat="1" applyFill="1" applyBorder="1" applyAlignment="1">
      <alignment horizontal="right"/>
    </xf>
    <xf numFmtId="164" fontId="5" fillId="5" borderId="5" xfId="0" applyNumberFormat="1" applyFont="1" applyFill="1" applyBorder="1" applyAlignment="1">
      <alignment horizontal="right"/>
    </xf>
    <xf numFmtId="164" fontId="0" fillId="5" borderId="6" xfId="0" applyNumberFormat="1" applyFill="1" applyBorder="1" applyAlignment="1">
      <alignment horizontal="right"/>
    </xf>
    <xf numFmtId="0" fontId="0" fillId="5" borderId="0" xfId="0" applyFill="1" applyAlignment="1">
      <alignment horizontal="left"/>
    </xf>
    <xf numFmtId="164" fontId="2" fillId="5" borderId="0" xfId="0" applyNumberFormat="1" applyFont="1" applyFill="1" applyAlignment="1">
      <alignment horizontal="right"/>
    </xf>
    <xf numFmtId="0" fontId="2" fillId="5" borderId="8" xfId="0" applyFont="1" applyFill="1" applyBorder="1" applyAlignment="1">
      <alignment horizontal="left"/>
    </xf>
    <xf numFmtId="164" fontId="5" fillId="5" borderId="0" xfId="0" applyNumberFormat="1" applyFont="1" applyFill="1" applyAlignment="1">
      <alignment horizontal="right"/>
    </xf>
    <xf numFmtId="164" fontId="0" fillId="5" borderId="9" xfId="0" applyNumberFormat="1" applyFill="1" applyBorder="1" applyAlignment="1">
      <alignment horizontal="right"/>
    </xf>
    <xf numFmtId="0" fontId="12" fillId="5" borderId="5" xfId="0" applyFont="1" applyFill="1" applyBorder="1" applyAlignment="1">
      <alignment horizontal="right"/>
    </xf>
    <xf numFmtId="0" fontId="7" fillId="5" borderId="5" xfId="0" applyFont="1" applyFill="1" applyBorder="1" applyAlignment="1">
      <alignment horizontal="right"/>
    </xf>
    <xf numFmtId="8" fontId="0" fillId="0" borderId="0" xfId="0" applyNumberFormat="1"/>
    <xf numFmtId="166" fontId="3" fillId="4" borderId="10" xfId="0" applyNumberFormat="1" applyFont="1" applyFill="1" applyBorder="1" applyAlignment="1">
      <alignment horizontal="right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80D-5F43-47C6-B9D8-0B4CF80D4643}">
  <dimension ref="A1:J32"/>
  <sheetViews>
    <sheetView showGridLines="0" tabSelected="1" topLeftCell="A15" workbookViewId="0">
      <selection activeCell="P28" sqref="P28"/>
    </sheetView>
  </sheetViews>
  <sheetFormatPr defaultRowHeight="14.5" x14ac:dyDescent="0.35"/>
  <cols>
    <col min="1" max="1" width="14.1796875" style="1" customWidth="1"/>
    <col min="2" max="2" width="2.6328125" customWidth="1"/>
    <col min="3" max="3" width="21.08984375" style="1" customWidth="1"/>
    <col min="4" max="5" width="2.6328125" customWidth="1"/>
    <col min="6" max="6" width="15.08984375" style="9" customWidth="1"/>
    <col min="7" max="7" width="2.6328125" customWidth="1"/>
    <col min="8" max="8" width="15.08984375" style="11" customWidth="1"/>
    <col min="9" max="9" width="2.6328125" customWidth="1"/>
    <col min="10" max="10" width="15.08984375" style="9" customWidth="1"/>
  </cols>
  <sheetData>
    <row r="1" spans="1:10" s="32" customFormat="1" ht="18.5" x14ac:dyDescent="0.45">
      <c r="A1" s="29" t="s">
        <v>9</v>
      </c>
      <c r="B1" s="30"/>
      <c r="C1" s="31"/>
      <c r="F1" s="33"/>
      <c r="H1" s="33"/>
      <c r="J1" s="33"/>
    </row>
    <row r="2" spans="1:10" s="32" customFormat="1" x14ac:dyDescent="0.35">
      <c r="A2" s="34" t="s">
        <v>10</v>
      </c>
      <c r="B2" s="35"/>
      <c r="C2" s="36"/>
      <c r="F2" s="33"/>
      <c r="H2" s="33"/>
      <c r="J2" s="33"/>
    </row>
    <row r="3" spans="1:10" s="32" customFormat="1" x14ac:dyDescent="0.35">
      <c r="A3" s="36" t="s">
        <v>11</v>
      </c>
      <c r="B3" s="35"/>
      <c r="C3" s="36"/>
      <c r="F3" s="33"/>
      <c r="H3" s="33"/>
      <c r="J3" s="33"/>
    </row>
    <row r="4" spans="1:10" s="32" customFormat="1" x14ac:dyDescent="0.35">
      <c r="A4" s="36" t="s">
        <v>0</v>
      </c>
      <c r="B4" s="35"/>
      <c r="C4" s="36"/>
      <c r="F4" s="33"/>
      <c r="H4" s="33"/>
      <c r="J4" s="33"/>
    </row>
    <row r="5" spans="1:10" ht="30" customHeight="1" x14ac:dyDescent="0.35">
      <c r="A5" s="61" t="s">
        <v>1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s="32" customFormat="1" ht="16" x14ac:dyDescent="0.4">
      <c r="A6" s="37"/>
      <c r="B6" s="38"/>
      <c r="C6" s="39"/>
      <c r="D6" s="40"/>
      <c r="E6" s="40"/>
      <c r="F6" s="41"/>
      <c r="G6" s="40"/>
      <c r="H6" s="42" t="s">
        <v>2</v>
      </c>
      <c r="I6" s="40"/>
      <c r="J6" s="43"/>
    </row>
    <row r="7" spans="1:10" s="32" customFormat="1" x14ac:dyDescent="0.35">
      <c r="A7" s="44"/>
      <c r="B7" s="45"/>
      <c r="C7" s="46"/>
      <c r="D7" s="47"/>
      <c r="E7" s="47"/>
      <c r="F7" s="48"/>
      <c r="G7" s="47"/>
      <c r="H7" s="49" t="s">
        <v>3</v>
      </c>
      <c r="I7" s="47"/>
      <c r="J7" s="50"/>
    </row>
    <row r="8" spans="1:10" s="32" customFormat="1" x14ac:dyDescent="0.35">
      <c r="A8" s="36"/>
      <c r="B8" s="30"/>
      <c r="C8" s="51"/>
      <c r="F8" s="33"/>
      <c r="H8" s="52"/>
      <c r="J8" s="33"/>
    </row>
    <row r="9" spans="1:10" ht="25" customHeight="1" thickBot="1" x14ac:dyDescent="0.4">
      <c r="A9" s="3" t="s">
        <v>4</v>
      </c>
      <c r="B9" s="4"/>
      <c r="C9" s="3" t="s">
        <v>5</v>
      </c>
      <c r="D9" s="4"/>
      <c r="E9" s="4"/>
      <c r="F9" s="8" t="s">
        <v>6</v>
      </c>
      <c r="G9" s="4"/>
      <c r="H9" s="8" t="s">
        <v>7</v>
      </c>
      <c r="I9" s="4"/>
      <c r="J9" s="8" t="s">
        <v>8</v>
      </c>
    </row>
    <row r="10" spans="1:10" ht="20" customHeight="1" x14ac:dyDescent="0.35">
      <c r="A10" s="13">
        <v>46137</v>
      </c>
      <c r="B10" s="14"/>
      <c r="C10" s="15" t="s">
        <v>38</v>
      </c>
      <c r="D10" s="14"/>
      <c r="E10" s="14"/>
      <c r="F10" s="16">
        <v>546.66999999999996</v>
      </c>
      <c r="G10" s="14"/>
      <c r="H10" s="17"/>
      <c r="I10" s="14"/>
      <c r="J10" s="16">
        <f>F10-H10</f>
        <v>546.66999999999996</v>
      </c>
    </row>
    <row r="11" spans="1:10" ht="20" customHeight="1" x14ac:dyDescent="0.35">
      <c r="A11" s="13">
        <v>46137</v>
      </c>
      <c r="B11" s="14"/>
      <c r="C11" s="15" t="s">
        <v>39</v>
      </c>
      <c r="D11" s="14"/>
      <c r="E11" s="14"/>
      <c r="F11" s="16">
        <v>275.49</v>
      </c>
      <c r="G11" s="14"/>
      <c r="H11" s="17"/>
      <c r="I11" s="14"/>
      <c r="J11" s="16">
        <f>J10+F11-H11</f>
        <v>822.16</v>
      </c>
    </row>
    <row r="12" spans="1:10" ht="20" customHeight="1" x14ac:dyDescent="0.35">
      <c r="A12" s="13">
        <v>46142</v>
      </c>
      <c r="B12" s="14"/>
      <c r="C12" s="15" t="s">
        <v>30</v>
      </c>
      <c r="D12" s="14"/>
      <c r="E12" s="14"/>
      <c r="F12" s="16">
        <v>406.78</v>
      </c>
      <c r="G12" s="14"/>
      <c r="H12" s="17"/>
      <c r="I12" s="14"/>
      <c r="J12" s="16">
        <f>J11+F12</f>
        <v>1228.94</v>
      </c>
    </row>
    <row r="13" spans="1:10" ht="20" customHeight="1" x14ac:dyDescent="0.35">
      <c r="A13" s="13">
        <v>46143</v>
      </c>
      <c r="B13" s="14"/>
      <c r="C13" s="15" t="s">
        <v>31</v>
      </c>
      <c r="D13" s="14"/>
      <c r="E13" s="14"/>
      <c r="F13" s="16">
        <v>571.24</v>
      </c>
      <c r="G13" s="14"/>
      <c r="H13" s="17"/>
      <c r="I13" s="14"/>
      <c r="J13" s="16">
        <f t="shared" ref="J13:J17" si="0">J12+F13</f>
        <v>1800.18</v>
      </c>
    </row>
    <row r="14" spans="1:10" ht="20" customHeight="1" x14ac:dyDescent="0.35">
      <c r="A14" s="13">
        <v>46143</v>
      </c>
      <c r="B14" s="14"/>
      <c r="C14" s="15" t="s">
        <v>29</v>
      </c>
      <c r="D14" s="14"/>
      <c r="E14" s="14"/>
      <c r="F14" s="16">
        <v>156.87</v>
      </c>
      <c r="G14" s="14"/>
      <c r="H14" s="17"/>
      <c r="I14" s="14"/>
      <c r="J14" s="16">
        <f t="shared" si="0"/>
        <v>1957.0500000000002</v>
      </c>
    </row>
    <row r="15" spans="1:10" ht="20" customHeight="1" x14ac:dyDescent="0.35">
      <c r="A15" s="13">
        <v>46143</v>
      </c>
      <c r="B15" s="14"/>
      <c r="C15" s="15" t="s">
        <v>32</v>
      </c>
      <c r="D15" s="14"/>
      <c r="E15" s="14"/>
      <c r="F15" s="16">
        <v>313.74</v>
      </c>
      <c r="G15" s="14"/>
      <c r="H15" s="17"/>
      <c r="I15" s="14"/>
      <c r="J15" s="16">
        <f t="shared" si="0"/>
        <v>2270.79</v>
      </c>
    </row>
    <row r="16" spans="1:10" ht="20" customHeight="1" x14ac:dyDescent="0.35">
      <c r="A16" s="13">
        <v>46151</v>
      </c>
      <c r="B16" s="14"/>
      <c r="C16" s="15" t="s">
        <v>33</v>
      </c>
      <c r="D16" s="14"/>
      <c r="E16" s="14"/>
      <c r="F16" s="16">
        <v>290.89</v>
      </c>
      <c r="G16" s="14"/>
      <c r="H16" s="17"/>
      <c r="I16" s="14"/>
      <c r="J16" s="16">
        <f t="shared" si="0"/>
        <v>2561.6799999999998</v>
      </c>
    </row>
    <row r="17" spans="1:10" ht="20" customHeight="1" x14ac:dyDescent="0.35">
      <c r="A17" s="13">
        <v>46151</v>
      </c>
      <c r="B17" s="14"/>
      <c r="C17" s="15" t="s">
        <v>34</v>
      </c>
      <c r="D17" s="14"/>
      <c r="E17" s="14"/>
      <c r="F17" s="16">
        <v>1381.31</v>
      </c>
      <c r="G17" s="14"/>
      <c r="H17" s="17"/>
      <c r="I17" s="14"/>
      <c r="J17" s="16">
        <f t="shared" si="0"/>
        <v>3942.99</v>
      </c>
    </row>
    <row r="18" spans="1:10" ht="20" customHeight="1" x14ac:dyDescent="0.35">
      <c r="A18" s="13">
        <v>46157</v>
      </c>
      <c r="B18" s="14"/>
      <c r="C18" s="15" t="s">
        <v>40</v>
      </c>
      <c r="D18" s="14"/>
      <c r="E18" s="14"/>
      <c r="F18" s="16">
        <v>896.79</v>
      </c>
      <c r="G18" s="14"/>
      <c r="H18" s="17"/>
      <c r="I18" s="14"/>
      <c r="J18" s="16">
        <f>J17+F18</f>
        <v>4839.78</v>
      </c>
    </row>
    <row r="19" spans="1:10" ht="20" customHeight="1" x14ac:dyDescent="0.35">
      <c r="A19" s="13">
        <v>46158</v>
      </c>
      <c r="B19" s="14"/>
      <c r="C19" s="15" t="s">
        <v>41</v>
      </c>
      <c r="D19" s="14"/>
      <c r="E19" s="14"/>
      <c r="F19" s="16">
        <v>201.25</v>
      </c>
      <c r="G19" s="14"/>
      <c r="H19" s="17"/>
      <c r="I19" s="14"/>
      <c r="J19" s="16">
        <f t="shared" ref="J19" si="1">J18+F19</f>
        <v>5041.03</v>
      </c>
    </row>
    <row r="20" spans="1:10" ht="20" customHeight="1" x14ac:dyDescent="0.35">
      <c r="A20" s="13">
        <v>46160</v>
      </c>
      <c r="B20" s="14"/>
      <c r="C20" s="15" t="s">
        <v>43</v>
      </c>
      <c r="D20" s="14"/>
      <c r="E20" s="14"/>
      <c r="F20" s="16">
        <v>74.97</v>
      </c>
      <c r="G20" s="14"/>
      <c r="H20" s="17"/>
      <c r="I20" s="14"/>
      <c r="J20" s="16">
        <f>J19+F20</f>
        <v>5116</v>
      </c>
    </row>
    <row r="21" spans="1:10" ht="20" customHeight="1" x14ac:dyDescent="0.35">
      <c r="A21" s="13">
        <v>46165</v>
      </c>
      <c r="B21" s="14"/>
      <c r="C21" s="15" t="s">
        <v>46</v>
      </c>
      <c r="D21" s="14"/>
      <c r="E21" s="14"/>
      <c r="F21" s="16">
        <v>552.47</v>
      </c>
      <c r="G21" s="14"/>
      <c r="H21" s="17"/>
      <c r="I21" s="14"/>
      <c r="J21" s="16">
        <f>J20+F21</f>
        <v>5668.47</v>
      </c>
    </row>
    <row r="22" spans="1:10" ht="20" customHeight="1" x14ac:dyDescent="0.35">
      <c r="A22" s="13">
        <v>46165</v>
      </c>
      <c r="B22" s="14"/>
      <c r="C22" s="15" t="s">
        <v>47</v>
      </c>
      <c r="D22" s="14"/>
      <c r="E22" s="14"/>
      <c r="F22" s="16">
        <v>1355.78</v>
      </c>
      <c r="G22" s="14"/>
      <c r="H22" s="17"/>
      <c r="I22" s="14"/>
      <c r="J22" s="16">
        <f t="shared" ref="J22:J27" si="2">J21+F22</f>
        <v>7024.25</v>
      </c>
    </row>
    <row r="23" spans="1:10" ht="20" customHeight="1" x14ac:dyDescent="0.35">
      <c r="A23" s="13">
        <v>46171</v>
      </c>
      <c r="B23" s="14"/>
      <c r="C23" s="15" t="s">
        <v>48</v>
      </c>
      <c r="D23" s="14"/>
      <c r="E23" s="14"/>
      <c r="F23" s="16">
        <v>313.74</v>
      </c>
      <c r="G23" s="14"/>
      <c r="H23" s="17"/>
      <c r="I23" s="14"/>
      <c r="J23" s="16">
        <f t="shared" si="2"/>
        <v>7337.99</v>
      </c>
    </row>
    <row r="24" spans="1:10" ht="20" customHeight="1" x14ac:dyDescent="0.35">
      <c r="A24" s="13">
        <v>46171</v>
      </c>
      <c r="B24" s="14"/>
      <c r="C24" s="15" t="s">
        <v>49</v>
      </c>
      <c r="D24" s="14"/>
      <c r="E24" s="14"/>
      <c r="F24" s="16">
        <v>156.87</v>
      </c>
      <c r="G24" s="14"/>
      <c r="H24" s="17"/>
      <c r="I24" s="14"/>
      <c r="J24" s="16">
        <f t="shared" si="2"/>
        <v>7494.86</v>
      </c>
    </row>
    <row r="25" spans="1:10" ht="20" customHeight="1" x14ac:dyDescent="0.35">
      <c r="A25" s="13">
        <v>46172</v>
      </c>
      <c r="B25" s="14"/>
      <c r="C25" s="15" t="s">
        <v>50</v>
      </c>
      <c r="D25" s="14"/>
      <c r="E25" s="14"/>
      <c r="F25" s="16">
        <v>424.74</v>
      </c>
      <c r="G25" s="14"/>
      <c r="H25" s="17"/>
      <c r="I25" s="14"/>
      <c r="J25" s="16">
        <f t="shared" si="2"/>
        <v>7919.5999999999995</v>
      </c>
    </row>
    <row r="26" spans="1:10" ht="20" customHeight="1" x14ac:dyDescent="0.35">
      <c r="A26" s="13">
        <v>46172</v>
      </c>
      <c r="B26" s="14"/>
      <c r="C26" s="15" t="s">
        <v>51</v>
      </c>
      <c r="D26" s="14"/>
      <c r="E26" s="14"/>
      <c r="F26" s="16">
        <v>266.88</v>
      </c>
      <c r="G26" s="14"/>
      <c r="H26" s="17"/>
      <c r="I26" s="14"/>
      <c r="J26" s="16">
        <f t="shared" si="2"/>
        <v>8186.48</v>
      </c>
    </row>
    <row r="27" spans="1:10" ht="20" customHeight="1" x14ac:dyDescent="0.35">
      <c r="A27" s="13">
        <v>46175</v>
      </c>
      <c r="B27" s="14"/>
      <c r="C27" s="15" t="s">
        <v>45</v>
      </c>
      <c r="D27" s="14"/>
      <c r="E27" s="14"/>
      <c r="F27" s="16">
        <v>-38.22</v>
      </c>
      <c r="G27" s="14"/>
      <c r="H27" s="17"/>
      <c r="I27" s="14"/>
      <c r="J27" s="16">
        <f t="shared" si="2"/>
        <v>8148.2599999999993</v>
      </c>
    </row>
    <row r="28" spans="1:10" ht="20" customHeight="1" x14ac:dyDescent="0.35">
      <c r="A28" s="13">
        <v>46179</v>
      </c>
      <c r="B28" s="14"/>
      <c r="C28" s="15" t="s">
        <v>53</v>
      </c>
      <c r="D28" s="14"/>
      <c r="E28" s="14"/>
      <c r="F28" s="16">
        <v>1115.9100000000001</v>
      </c>
      <c r="G28" s="14"/>
      <c r="H28" s="17"/>
      <c r="I28" s="14"/>
      <c r="J28" s="16">
        <f>J27+F28</f>
        <v>9264.17</v>
      </c>
    </row>
    <row r="29" spans="1:10" ht="20" customHeight="1" x14ac:dyDescent="0.35">
      <c r="A29" s="13">
        <v>46179</v>
      </c>
      <c r="B29" s="14"/>
      <c r="C29" s="15" t="s">
        <v>54</v>
      </c>
      <c r="D29" s="14"/>
      <c r="E29" s="14"/>
      <c r="F29" s="16">
        <v>294.89</v>
      </c>
      <c r="G29" s="14"/>
      <c r="H29" s="17"/>
      <c r="I29" s="14"/>
      <c r="J29" s="16">
        <f>J28+F29</f>
        <v>9559.06</v>
      </c>
    </row>
    <row r="30" spans="1:10" ht="20" customHeight="1" thickBot="1" x14ac:dyDescent="0.4">
      <c r="A30" s="13"/>
      <c r="B30" s="14"/>
      <c r="C30" s="15"/>
      <c r="D30" s="14"/>
      <c r="E30" s="14"/>
      <c r="F30" s="16"/>
      <c r="G30" s="14"/>
      <c r="H30" s="17"/>
      <c r="I30" s="14"/>
      <c r="J30" s="16"/>
    </row>
    <row r="31" spans="1:10" ht="25" customHeight="1" thickBot="1" x14ac:dyDescent="0.4">
      <c r="A31" s="5" t="s">
        <v>12</v>
      </c>
      <c r="B31" s="6"/>
      <c r="C31" s="5"/>
      <c r="D31" s="6"/>
      <c r="E31" s="6"/>
      <c r="F31" s="10">
        <f>SUM(F10:F30)</f>
        <v>9559.06</v>
      </c>
      <c r="G31" s="6"/>
      <c r="H31" s="12">
        <f>SUM(H10:H24)</f>
        <v>0</v>
      </c>
      <c r="I31" s="6"/>
      <c r="J31" s="10">
        <f>F31-H31</f>
        <v>9559.06</v>
      </c>
    </row>
    <row r="32" spans="1:10" ht="15" thickTop="1" x14ac:dyDescent="0.35"/>
  </sheetData>
  <sortState xmlns:xlrd2="http://schemas.microsoft.com/office/spreadsheetml/2017/richdata2" ref="A20:J27">
    <sortCondition ref="A20:A27"/>
  </sortState>
  <mergeCells count="1">
    <mergeCell ref="A5:J5"/>
  </mergeCells>
  <phoneticPr fontId="13" type="noConversion"/>
  <printOptions horizontalCentered="1"/>
  <pageMargins left="6.9444444444444441E-3" right="6.9444444444444441E-3" top="6.9444444444444441E-3" bottom="6.9444444444444441E-3" header="0.31496062992125984" footer="0.31496062992125984"/>
  <pageSetup paperSize="9" orientation="landscape" r:id="rId1"/>
  <headerFooter>
    <oddFooter>&amp;L&amp;D&amp;C&amp;"-,Έντονη γραφή"&amp;9FC GASTRONOBILE LTD &amp;"-,Κανονικά"
IBAN: CY68002001950000357046139580
Bank of Cyprus Public Company Ltd 
SWIFT/BIC: BCYPCY2N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21B9-5461-474E-A77A-EBF6AF14334F}">
  <dimension ref="A1:J27"/>
  <sheetViews>
    <sheetView showGridLines="0" zoomScaleNormal="100" workbookViewId="0">
      <selection activeCell="F17" sqref="F17"/>
    </sheetView>
  </sheetViews>
  <sheetFormatPr defaultRowHeight="14.5" x14ac:dyDescent="0.35"/>
  <cols>
    <col min="1" max="1" width="14.1796875" style="1" customWidth="1"/>
    <col min="2" max="2" width="2.6328125" customWidth="1"/>
    <col min="3" max="3" width="17.81640625" style="1" customWidth="1"/>
    <col min="4" max="5" width="2.6328125" customWidth="1"/>
    <col min="6" max="6" width="15.08984375" style="11" customWidth="1"/>
    <col min="7" max="7" width="2.6328125" customWidth="1"/>
    <col min="8" max="8" width="15.08984375" style="11" customWidth="1"/>
    <col min="9" max="9" width="2.6328125" customWidth="1"/>
    <col min="10" max="10" width="15.08984375" style="9" customWidth="1"/>
  </cols>
  <sheetData>
    <row r="1" spans="1:10" s="32" customFormat="1" ht="18.5" x14ac:dyDescent="0.45">
      <c r="A1" s="29" t="s">
        <v>9</v>
      </c>
      <c r="B1" s="30"/>
      <c r="C1" s="31"/>
      <c r="F1" s="33"/>
      <c r="H1" s="33"/>
      <c r="J1" s="33"/>
    </row>
    <row r="2" spans="1:10" s="32" customFormat="1" x14ac:dyDescent="0.35">
      <c r="A2" s="34" t="s">
        <v>10</v>
      </c>
      <c r="B2" s="35"/>
      <c r="C2" s="36"/>
      <c r="F2" s="33"/>
      <c r="H2" s="33"/>
      <c r="J2" s="33"/>
    </row>
    <row r="3" spans="1:10" s="32" customFormat="1" x14ac:dyDescent="0.35">
      <c r="A3" s="36" t="s">
        <v>11</v>
      </c>
      <c r="B3" s="35"/>
      <c r="C3" s="36"/>
      <c r="F3" s="33"/>
      <c r="H3" s="33"/>
      <c r="J3" s="33"/>
    </row>
    <row r="4" spans="1:10" s="32" customFormat="1" x14ac:dyDescent="0.35">
      <c r="A4" s="36" t="s">
        <v>0</v>
      </c>
      <c r="B4" s="35"/>
      <c r="C4" s="36"/>
      <c r="F4" s="33"/>
      <c r="H4" s="33"/>
      <c r="J4" s="33"/>
    </row>
    <row r="5" spans="1:10" ht="30" customHeight="1" x14ac:dyDescent="0.35">
      <c r="A5" s="61" t="s">
        <v>1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s="32" customFormat="1" ht="16" x14ac:dyDescent="0.4">
      <c r="A6" s="37"/>
      <c r="B6" s="38"/>
      <c r="C6" s="39"/>
      <c r="D6" s="40"/>
      <c r="E6" s="40"/>
      <c r="F6" s="41"/>
      <c r="G6" s="40"/>
      <c r="H6" s="42" t="s">
        <v>13</v>
      </c>
      <c r="I6" s="40"/>
      <c r="J6" s="43"/>
    </row>
    <row r="7" spans="1:10" s="32" customFormat="1" x14ac:dyDescent="0.35">
      <c r="A7" s="44"/>
      <c r="B7" s="45"/>
      <c r="C7" s="46"/>
      <c r="D7" s="47"/>
      <c r="E7" s="47"/>
      <c r="F7" s="48"/>
      <c r="G7" s="47"/>
      <c r="H7" s="57" t="s">
        <v>16</v>
      </c>
      <c r="I7" s="47"/>
      <c r="J7" s="50"/>
    </row>
    <row r="8" spans="1:10" s="32" customFormat="1" x14ac:dyDescent="0.35">
      <c r="A8" s="36"/>
      <c r="B8" s="30"/>
      <c r="C8" s="51"/>
      <c r="F8" s="33"/>
      <c r="H8" s="52"/>
      <c r="J8" s="33"/>
    </row>
    <row r="9" spans="1:10" ht="25" customHeight="1" thickBot="1" x14ac:dyDescent="0.4">
      <c r="A9" s="3" t="s">
        <v>4</v>
      </c>
      <c r="B9" s="4"/>
      <c r="C9" s="3" t="s">
        <v>5</v>
      </c>
      <c r="D9" s="4"/>
      <c r="E9" s="4"/>
      <c r="F9" s="8" t="s">
        <v>6</v>
      </c>
      <c r="G9" s="4"/>
      <c r="H9" s="8" t="s">
        <v>7</v>
      </c>
      <c r="I9" s="4"/>
      <c r="J9" s="8" t="s">
        <v>8</v>
      </c>
    </row>
    <row r="10" spans="1:10" ht="20" customHeight="1" x14ac:dyDescent="0.35">
      <c r="A10" s="13">
        <v>46137</v>
      </c>
      <c r="B10" s="14"/>
      <c r="C10" s="15" t="s">
        <v>14</v>
      </c>
      <c r="D10" s="14"/>
      <c r="E10" s="14"/>
      <c r="F10" s="17">
        <v>429.25</v>
      </c>
      <c r="G10" s="14"/>
      <c r="H10" s="17"/>
      <c r="I10" s="14"/>
      <c r="J10" s="16">
        <f>F10-H10</f>
        <v>429.25</v>
      </c>
    </row>
    <row r="11" spans="1:10" ht="20" customHeight="1" x14ac:dyDescent="0.35">
      <c r="A11" s="13">
        <v>46143</v>
      </c>
      <c r="B11" s="14"/>
      <c r="C11" s="15" t="s">
        <v>15</v>
      </c>
      <c r="D11" s="14"/>
      <c r="E11" s="14"/>
      <c r="F11" s="17">
        <v>174</v>
      </c>
      <c r="G11" s="14"/>
      <c r="H11" s="17"/>
      <c r="I11" s="14"/>
      <c r="J11" s="16">
        <f>J10+F11-H11</f>
        <v>603.25</v>
      </c>
    </row>
    <row r="12" spans="1:10" ht="20" customHeight="1" x14ac:dyDescent="0.35">
      <c r="A12" s="13">
        <v>46151</v>
      </c>
      <c r="B12" s="14"/>
      <c r="C12" s="15" t="s">
        <v>35</v>
      </c>
      <c r="D12" s="14"/>
      <c r="E12" s="14"/>
      <c r="F12" s="58">
        <v>471.64</v>
      </c>
      <c r="G12" s="14"/>
      <c r="H12" s="17"/>
      <c r="I12" s="14"/>
      <c r="J12" s="16">
        <f>J11+F12</f>
        <v>1074.8899999999999</v>
      </c>
    </row>
    <row r="13" spans="1:10" ht="20" customHeight="1" x14ac:dyDescent="0.35">
      <c r="A13" s="13" t="s">
        <v>36</v>
      </c>
      <c r="B13" s="14"/>
      <c r="C13" s="15" t="s">
        <v>37</v>
      </c>
      <c r="D13" s="14"/>
      <c r="E13" s="14"/>
      <c r="F13" s="58"/>
      <c r="G13" s="14"/>
      <c r="H13" s="26">
        <v>429.25</v>
      </c>
      <c r="I13" s="14"/>
      <c r="J13" s="26">
        <f>J12-H13</f>
        <v>645.63999999999987</v>
      </c>
    </row>
    <row r="14" spans="1:10" ht="20" customHeight="1" x14ac:dyDescent="0.35">
      <c r="A14" s="13">
        <v>46158</v>
      </c>
      <c r="B14" s="14"/>
      <c r="C14" s="15" t="s">
        <v>42</v>
      </c>
      <c r="D14" s="14"/>
      <c r="E14" s="14"/>
      <c r="F14" s="58">
        <v>542.47</v>
      </c>
      <c r="G14" s="14"/>
      <c r="H14" s="26"/>
      <c r="I14" s="14"/>
      <c r="J14" s="26">
        <f>J13+F14</f>
        <v>1188.1099999999999</v>
      </c>
    </row>
    <row r="15" spans="1:10" ht="20" customHeight="1" x14ac:dyDescent="0.35">
      <c r="A15" s="13">
        <v>46165</v>
      </c>
      <c r="B15" s="14"/>
      <c r="C15" s="15" t="s">
        <v>44</v>
      </c>
      <c r="D15" s="14"/>
      <c r="E15" s="14"/>
      <c r="F15" s="58">
        <v>96.29</v>
      </c>
      <c r="G15" s="14"/>
      <c r="H15" s="26"/>
      <c r="I15" s="14"/>
      <c r="J15" s="26">
        <f>J14+F15</f>
        <v>1284.3999999999999</v>
      </c>
    </row>
    <row r="16" spans="1:10" ht="20" customHeight="1" thickBot="1" x14ac:dyDescent="0.4">
      <c r="A16" s="13">
        <v>46172</v>
      </c>
      <c r="B16" s="14"/>
      <c r="C16" s="15" t="s">
        <v>52</v>
      </c>
      <c r="D16" s="14"/>
      <c r="E16" s="14"/>
      <c r="F16" s="58">
        <v>471.87</v>
      </c>
      <c r="G16" s="14"/>
      <c r="H16" s="26"/>
      <c r="I16" s="14"/>
      <c r="J16" s="26">
        <f>J15+F16</f>
        <v>1756.27</v>
      </c>
    </row>
    <row r="17" spans="1:10" ht="25" customHeight="1" thickBot="1" x14ac:dyDescent="0.4">
      <c r="A17" s="5" t="s">
        <v>12</v>
      </c>
      <c r="B17" s="6"/>
      <c r="C17" s="5"/>
      <c r="D17" s="6"/>
      <c r="E17" s="6"/>
      <c r="F17" s="12">
        <f>SUM(F10:F16)</f>
        <v>2185.52</v>
      </c>
      <c r="G17" s="6"/>
      <c r="H17" s="59">
        <f>H13</f>
        <v>429.25</v>
      </c>
      <c r="I17" s="6"/>
      <c r="J17" s="59">
        <f>F17-H17</f>
        <v>1756.27</v>
      </c>
    </row>
    <row r="18" spans="1:10" ht="15" thickTop="1" x14ac:dyDescent="0.35"/>
    <row r="25" spans="1:10" x14ac:dyDescent="0.35">
      <c r="A25" s="2"/>
    </row>
    <row r="27" spans="1:10" x14ac:dyDescent="0.35">
      <c r="A27" s="2"/>
    </row>
  </sheetData>
  <mergeCells count="1">
    <mergeCell ref="A5:J5"/>
  </mergeCells>
  <phoneticPr fontId="13" type="noConversion"/>
  <printOptions horizontalCentered="1"/>
  <pageMargins left="6.9444444444444441E-3" right="6.9444444444444441E-3" top="6.9444444444444441E-3" bottom="6.9444444444444441E-3" header="0.31496062992125984" footer="0.31496062992125984"/>
  <pageSetup paperSize="9" orientation="landscape" r:id="rId1"/>
  <headerFooter>
    <oddFooter xml:space="preserve">&amp;LPrinting Date: &amp;D&amp;C&amp;"-,Έντονη γραφή"&amp;9FC GASTRONOBILE LTD &amp;"-,Κανονικά"
IBAN: CY68002001950000357046139580
Bank of Cyprus Public Company Ltd 
SWIFT/BIC: BCYPCY2N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D55A-B8D1-4387-9943-BBD4AA390025}">
  <dimension ref="A1:J23"/>
  <sheetViews>
    <sheetView showGridLines="0" workbookViewId="0">
      <selection activeCell="F13" sqref="F13"/>
    </sheetView>
  </sheetViews>
  <sheetFormatPr defaultRowHeight="14.5" x14ac:dyDescent="0.35"/>
  <cols>
    <col min="1" max="1" width="14.1796875" style="1" customWidth="1"/>
    <col min="2" max="2" width="2.6328125" customWidth="1"/>
    <col min="3" max="3" width="17.81640625" style="1" customWidth="1"/>
    <col min="4" max="5" width="2.6328125" customWidth="1"/>
    <col min="6" max="6" width="15.08984375" style="11" customWidth="1"/>
    <col min="7" max="7" width="2.6328125" customWidth="1"/>
    <col min="8" max="8" width="15.08984375" style="11" customWidth="1"/>
    <col min="9" max="9" width="2.6328125" customWidth="1"/>
    <col min="10" max="10" width="15.08984375" style="9" customWidth="1"/>
  </cols>
  <sheetData>
    <row r="1" spans="1:10" s="32" customFormat="1" ht="18.5" x14ac:dyDescent="0.45">
      <c r="A1" s="29" t="s">
        <v>9</v>
      </c>
      <c r="B1" s="30"/>
      <c r="C1" s="31"/>
      <c r="F1" s="33"/>
      <c r="H1" s="33"/>
      <c r="J1" s="33"/>
    </row>
    <row r="2" spans="1:10" s="32" customFormat="1" x14ac:dyDescent="0.35">
      <c r="A2" s="34" t="s">
        <v>10</v>
      </c>
      <c r="B2" s="35"/>
      <c r="C2" s="36"/>
      <c r="F2" s="33"/>
      <c r="H2" s="33"/>
      <c r="J2" s="33"/>
    </row>
    <row r="3" spans="1:10" s="32" customFormat="1" x14ac:dyDescent="0.35">
      <c r="A3" s="36" t="s">
        <v>11</v>
      </c>
      <c r="B3" s="35"/>
      <c r="C3" s="36"/>
      <c r="F3" s="33"/>
      <c r="H3" s="33"/>
      <c r="J3" s="33"/>
    </row>
    <row r="4" spans="1:10" s="32" customFormat="1" x14ac:dyDescent="0.35">
      <c r="A4" s="36" t="s">
        <v>0</v>
      </c>
      <c r="B4" s="35"/>
      <c r="C4" s="36"/>
      <c r="F4" s="33"/>
      <c r="H4" s="33"/>
      <c r="J4" s="33"/>
    </row>
    <row r="5" spans="1:10" ht="30" customHeight="1" x14ac:dyDescent="0.35">
      <c r="A5" s="61" t="s">
        <v>1</v>
      </c>
      <c r="B5" s="61"/>
      <c r="C5" s="61"/>
      <c r="D5" s="61"/>
      <c r="E5" s="61"/>
      <c r="F5" s="61"/>
      <c r="G5" s="61"/>
      <c r="H5" s="61"/>
      <c r="I5" s="61"/>
      <c r="J5" s="61"/>
    </row>
    <row r="6" spans="1:10" s="32" customFormat="1" ht="16" x14ac:dyDescent="0.4">
      <c r="A6" s="37"/>
      <c r="B6" s="38"/>
      <c r="C6" s="39"/>
      <c r="D6" s="40"/>
      <c r="E6" s="40"/>
      <c r="F6" s="41"/>
      <c r="G6" s="40"/>
      <c r="H6" s="42" t="s">
        <v>17</v>
      </c>
      <c r="I6" s="40"/>
      <c r="J6" s="43"/>
    </row>
    <row r="7" spans="1:10" s="32" customFormat="1" x14ac:dyDescent="0.35">
      <c r="A7" s="53"/>
      <c r="B7" s="35"/>
      <c r="C7" s="36"/>
      <c r="F7" s="33"/>
      <c r="H7" s="54" t="s">
        <v>19</v>
      </c>
      <c r="J7" s="55"/>
    </row>
    <row r="8" spans="1:10" s="32" customFormat="1" x14ac:dyDescent="0.35">
      <c r="A8" s="44"/>
      <c r="B8" s="45"/>
      <c r="C8" s="46"/>
      <c r="D8" s="47"/>
      <c r="E8" s="47"/>
      <c r="F8" s="48"/>
      <c r="G8" s="47"/>
      <c r="H8" s="56" t="s">
        <v>18</v>
      </c>
      <c r="I8" s="47"/>
      <c r="J8" s="50"/>
    </row>
    <row r="9" spans="1:10" s="32" customFormat="1" x14ac:dyDescent="0.35">
      <c r="A9" s="36"/>
      <c r="B9" s="30"/>
      <c r="C9" s="51"/>
      <c r="F9" s="33"/>
      <c r="H9" s="52"/>
      <c r="J9" s="33"/>
    </row>
    <row r="10" spans="1:10" ht="25" customHeight="1" thickBot="1" x14ac:dyDescent="0.4">
      <c r="A10" s="3" t="s">
        <v>4</v>
      </c>
      <c r="B10" s="4"/>
      <c r="C10" s="3" t="s">
        <v>5</v>
      </c>
      <c r="D10" s="4"/>
      <c r="E10" s="4"/>
      <c r="F10" s="8" t="s">
        <v>6</v>
      </c>
      <c r="G10" s="4"/>
      <c r="H10" s="8" t="s">
        <v>7</v>
      </c>
      <c r="I10" s="4"/>
      <c r="J10" s="8" t="s">
        <v>8</v>
      </c>
    </row>
    <row r="11" spans="1:10" ht="20" customHeight="1" x14ac:dyDescent="0.35">
      <c r="A11" s="13">
        <v>46147</v>
      </c>
      <c r="B11" s="14"/>
      <c r="C11" s="15" t="s">
        <v>20</v>
      </c>
      <c r="D11" s="14"/>
      <c r="E11" s="14"/>
      <c r="F11" s="17">
        <v>584.57000000000005</v>
      </c>
      <c r="G11" s="14"/>
      <c r="H11" s="17"/>
      <c r="I11" s="14"/>
      <c r="J11" s="16">
        <f>F11-H11</f>
        <v>584.57000000000005</v>
      </c>
    </row>
    <row r="12" spans="1:10" ht="15" thickBot="1" x14ac:dyDescent="0.4">
      <c r="A12" s="2"/>
      <c r="J12" s="18"/>
    </row>
    <row r="13" spans="1:10" ht="25" customHeight="1" thickBot="1" x14ac:dyDescent="0.4">
      <c r="A13" s="5" t="s">
        <v>12</v>
      </c>
      <c r="B13" s="6"/>
      <c r="C13" s="5"/>
      <c r="D13" s="6"/>
      <c r="E13" s="6"/>
      <c r="F13" s="12">
        <f>SUM(F11:F11)</f>
        <v>584.57000000000005</v>
      </c>
      <c r="G13" s="6"/>
      <c r="H13" s="12">
        <f>SUM(H11:H11)</f>
        <v>0</v>
      </c>
      <c r="I13" s="6"/>
      <c r="J13" s="10">
        <f>F13-H13</f>
        <v>584.57000000000005</v>
      </c>
    </row>
    <row r="14" spans="1:10" ht="15" thickTop="1" x14ac:dyDescent="0.35"/>
    <row r="21" spans="1:1" x14ac:dyDescent="0.35">
      <c r="A21" s="2"/>
    </row>
    <row r="23" spans="1:1" x14ac:dyDescent="0.35">
      <c r="A23" s="2"/>
    </row>
  </sheetData>
  <mergeCells count="1">
    <mergeCell ref="A5:J5"/>
  </mergeCells>
  <printOptions horizontalCentered="1"/>
  <pageMargins left="6.9444444444444441E-3" right="6.9444444444444441E-3" top="6.9444444444444441E-3" bottom="6.9444444444444441E-3" header="0.31496062992125984" footer="0.31496062992125984"/>
  <pageSetup paperSize="9" orientation="landscape" r:id="rId1"/>
  <headerFooter>
    <oddFooter>&amp;LPrinting Date: &amp;D&amp;C&amp;"-,Έντονη γραφή"FC GASTRONOBILE LTD&amp;"-,Κανονικά" 
IBAN: CY68002001950000357046139580
Bank of Cyprus Public Company Ltd 
SWIFT/BIC: BCYPCY2N&amp;R&amp;P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BADF-F40E-47D2-B5D0-795C817AC277}">
  <dimension ref="A1:J16"/>
  <sheetViews>
    <sheetView showGridLines="0" zoomScaleNormal="100" workbookViewId="0">
      <selection activeCell="H8" sqref="H8"/>
    </sheetView>
  </sheetViews>
  <sheetFormatPr defaultRowHeight="14.5" x14ac:dyDescent="0.35"/>
  <cols>
    <col min="1" max="1" width="14.1796875" style="1" customWidth="1"/>
    <col min="2" max="2" width="2.6328125" customWidth="1"/>
    <col min="3" max="3" width="32.6328125" style="1" customWidth="1"/>
    <col min="4" max="5" width="2.6328125" customWidth="1"/>
    <col min="6" max="6" width="15.08984375" style="9" customWidth="1"/>
    <col min="7" max="7" width="2.6328125" customWidth="1"/>
    <col min="8" max="8" width="15.08984375" style="9" customWidth="1"/>
    <col min="9" max="9" width="2.6328125" customWidth="1"/>
    <col min="10" max="10" width="15.08984375" style="9" customWidth="1"/>
  </cols>
  <sheetData>
    <row r="1" spans="1:10" ht="18.5" x14ac:dyDescent="0.45">
      <c r="A1" s="22" t="s">
        <v>9</v>
      </c>
    </row>
    <row r="2" spans="1:10" x14ac:dyDescent="0.35">
      <c r="A2" s="23" t="s">
        <v>10</v>
      </c>
    </row>
    <row r="3" spans="1:10" x14ac:dyDescent="0.35">
      <c r="A3" s="24" t="s">
        <v>21</v>
      </c>
    </row>
    <row r="4" spans="1:10" x14ac:dyDescent="0.35">
      <c r="A4" s="24" t="s">
        <v>22</v>
      </c>
    </row>
    <row r="5" spans="1:10" x14ac:dyDescent="0.35">
      <c r="A5" s="24" t="s">
        <v>0</v>
      </c>
    </row>
    <row r="6" spans="1:10" ht="30" customHeight="1" x14ac:dyDescent="0.35">
      <c r="A6" s="60" t="s">
        <v>1</v>
      </c>
      <c r="B6" s="60"/>
      <c r="C6" s="60"/>
      <c r="D6" s="60"/>
      <c r="E6" s="60"/>
      <c r="F6" s="60"/>
      <c r="G6" s="60"/>
      <c r="H6" s="60"/>
      <c r="I6" s="60"/>
      <c r="J6" s="60"/>
    </row>
    <row r="7" spans="1:10" x14ac:dyDescent="0.35">
      <c r="H7" s="28" t="s">
        <v>25</v>
      </c>
    </row>
    <row r="8" spans="1:10" x14ac:dyDescent="0.35">
      <c r="H8" s="28" t="s">
        <v>26</v>
      </c>
    </row>
    <row r="9" spans="1:10" x14ac:dyDescent="0.35">
      <c r="H9" s="28" t="s">
        <v>27</v>
      </c>
    </row>
    <row r="10" spans="1:10" ht="25" customHeight="1" thickBot="1" x14ac:dyDescent="0.4">
      <c r="A10" s="3" t="s">
        <v>4</v>
      </c>
      <c r="B10" s="4"/>
      <c r="C10" s="3" t="s">
        <v>5</v>
      </c>
      <c r="D10" s="4"/>
      <c r="E10" s="4"/>
      <c r="F10" s="20" t="s">
        <v>6</v>
      </c>
      <c r="G10" s="4"/>
      <c r="H10" s="20" t="s">
        <v>7</v>
      </c>
      <c r="I10" s="4"/>
      <c r="J10" s="20" t="s">
        <v>8</v>
      </c>
    </row>
    <row r="11" spans="1:10" ht="20" customHeight="1" x14ac:dyDescent="0.35">
      <c r="A11" s="25">
        <v>45753</v>
      </c>
      <c r="B11" s="14"/>
      <c r="C11" s="15" t="s">
        <v>24</v>
      </c>
      <c r="D11" s="14"/>
      <c r="E11" s="14"/>
      <c r="F11" s="27"/>
      <c r="G11" s="14"/>
      <c r="H11" s="26">
        <v>5325</v>
      </c>
      <c r="I11" s="14"/>
      <c r="J11" s="26">
        <f>-H11</f>
        <v>-5325</v>
      </c>
    </row>
    <row r="12" spans="1:10" ht="20" customHeight="1" x14ac:dyDescent="0.35">
      <c r="A12" s="13">
        <v>46149</v>
      </c>
      <c r="B12" s="14"/>
      <c r="C12" s="15" t="s">
        <v>28</v>
      </c>
      <c r="D12" s="14"/>
      <c r="E12" s="14"/>
      <c r="F12" s="27"/>
      <c r="G12" s="14"/>
      <c r="H12" s="26">
        <v>5000</v>
      </c>
      <c r="I12" s="14"/>
      <c r="J12" s="26">
        <f>J11-H12</f>
        <v>-10325</v>
      </c>
    </row>
    <row r="13" spans="1:10" ht="20" customHeight="1" x14ac:dyDescent="0.35">
      <c r="A13" s="25">
        <v>46153</v>
      </c>
      <c r="B13" s="14"/>
      <c r="C13" s="15" t="s">
        <v>23</v>
      </c>
      <c r="D13" s="14"/>
      <c r="E13" s="14"/>
      <c r="F13" s="27">
        <v>13117.24</v>
      </c>
      <c r="G13" s="14"/>
      <c r="H13" s="26"/>
      <c r="I13" s="14"/>
      <c r="J13" s="26">
        <f>J12+F13</f>
        <v>2792.24</v>
      </c>
    </row>
    <row r="14" spans="1:10" ht="25" customHeight="1" thickBot="1" x14ac:dyDescent="0.4"/>
    <row r="15" spans="1:10" ht="15" thickBot="1" x14ac:dyDescent="0.4">
      <c r="A15" s="19" t="s">
        <v>12</v>
      </c>
      <c r="B15" s="7"/>
      <c r="C15" s="19"/>
      <c r="D15" s="7"/>
      <c r="E15" s="7"/>
      <c r="F15" s="21">
        <f>SUM(F11:F14)</f>
        <v>13117.24</v>
      </c>
      <c r="G15" s="7"/>
      <c r="H15" s="21">
        <f>SUM(H11:H14)</f>
        <v>10325</v>
      </c>
      <c r="I15" s="7"/>
      <c r="J15" s="21">
        <f>F15-H15</f>
        <v>2792.24</v>
      </c>
    </row>
    <row r="16" spans="1:10" ht="15" thickTop="1" x14ac:dyDescent="0.35"/>
  </sheetData>
  <sortState xmlns:xlrd2="http://schemas.microsoft.com/office/spreadsheetml/2017/richdata2" ref="A11:J13">
    <sortCondition ref="A11:A13"/>
  </sortState>
  <mergeCells count="1">
    <mergeCell ref="A6:J6"/>
  </mergeCells>
  <printOptions horizontalCentered="1"/>
  <pageMargins left="0" right="0" top="0" bottom="0" header="0.31496062992125984" footer="0.31496062992125984"/>
  <pageSetup paperSize="9" orientation="landscape" r:id="rId1"/>
  <headerFooter>
    <oddFooter xml:space="preserve">&amp;LPrinting Date: &amp;D&amp;C&amp;"-,Έντονη γραφή"FC GASTRONOBILE LTD&amp;"-,Κανονικά"
IBAN: CY68002001950000357046139580
Bank of Cyprus Public Company Ltd
SWIFT/BIC: BCYPCY2N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4</vt:i4>
      </vt:variant>
      <vt:variant>
        <vt:lpstr>Καθορισμένες περιοχές</vt:lpstr>
      </vt:variant>
      <vt:variant>
        <vt:i4>4</vt:i4>
      </vt:variant>
    </vt:vector>
  </HeadingPairs>
  <TitlesOfParts>
    <vt:vector size="8" baseType="lpstr">
      <vt:lpstr>SC MAR AZUL LTD</vt:lpstr>
      <vt:lpstr>THEOSKEPASTI BEACH FLATS LTD</vt:lpstr>
      <vt:lpstr>MINTHIS CLUBHOUSE LTD</vt:lpstr>
      <vt:lpstr>M.L.P.K LIMITED</vt:lpstr>
      <vt:lpstr>'M.L.P.K LIMITED'!Print_Area</vt:lpstr>
      <vt:lpstr>'MINTHIS CLUBHOUSE LTD'!Print_Area</vt:lpstr>
      <vt:lpstr>'SC MAR AZUL LTD'!Print_Area</vt:lpstr>
      <vt:lpstr>'THEOSKEPASTI BEACH FLATS LTD'!Print_Area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DESPINA K</dc:creator>
  <cp:lastModifiedBy>Ilias Sokolis</cp:lastModifiedBy>
  <cp:lastPrinted>2026-05-25T09:39:30Z</cp:lastPrinted>
  <dcterms:created xsi:type="dcterms:W3CDTF">2026-04-24T12:01:47Z</dcterms:created>
  <dcterms:modified xsi:type="dcterms:W3CDTF">2026-06-12T10:37:11Z</dcterms:modified>
</cp:coreProperties>
</file>