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b195580c23956d/Υπολογιστής/GASTRO NOBILE/PRICE LIST/"/>
    </mc:Choice>
  </mc:AlternateContent>
  <xr:revisionPtr revIDLastSave="5" documentId="8_{542A5DDB-6512-499B-944B-C47C033738AA}" xr6:coauthVersionLast="47" xr6:coauthVersionMax="47" xr10:uidLastSave="{2AD68F76-2561-4165-BEE5-512C0D040DC7}"/>
  <bookViews>
    <workbookView xWindow="-98" yWindow="-98" windowWidth="21795" windowHeight="12975" xr2:uid="{BB3C0C6E-25F3-4E22-9A52-95CA09A1982B}"/>
  </bookViews>
  <sheets>
    <sheet name="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4" i="1" l="1"/>
  <c r="G193" i="1"/>
  <c r="H185" i="1"/>
  <c r="G185" i="1"/>
  <c r="H184" i="1"/>
  <c r="G184" i="1"/>
  <c r="G151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6" i="1"/>
  <c r="G116" i="1"/>
  <c r="H114" i="1"/>
  <c r="G114" i="1"/>
  <c r="H113" i="1"/>
  <c r="G113" i="1"/>
  <c r="G112" i="1"/>
  <c r="G111" i="1"/>
  <c r="G110" i="1"/>
  <c r="G109" i="1"/>
  <c r="G108" i="1"/>
  <c r="G107" i="1"/>
  <c r="G106" i="1"/>
  <c r="H105" i="1"/>
  <c r="G105" i="1"/>
  <c r="G104" i="1"/>
  <c r="G103" i="1"/>
  <c r="G102" i="1"/>
  <c r="H101" i="1"/>
  <c r="G101" i="1"/>
  <c r="H100" i="1"/>
  <c r="G100" i="1"/>
  <c r="H98" i="1"/>
  <c r="G98" i="1"/>
  <c r="H97" i="1"/>
  <c r="G97" i="1"/>
  <c r="G96" i="1"/>
  <c r="H95" i="1"/>
  <c r="G95" i="1"/>
  <c r="H94" i="1"/>
  <c r="G94" i="1"/>
  <c r="H93" i="1"/>
  <c r="G93" i="1"/>
  <c r="H92" i="1"/>
  <c r="G92" i="1"/>
  <c r="H91" i="1"/>
  <c r="H89" i="1"/>
  <c r="H88" i="1"/>
  <c r="H87" i="1"/>
  <c r="G87" i="1"/>
  <c r="H86" i="1"/>
  <c r="H85" i="1"/>
  <c r="G85" i="1"/>
  <c r="H84" i="1"/>
  <c r="H83" i="1"/>
  <c r="G83" i="1"/>
  <c r="H82" i="1"/>
  <c r="H81" i="1"/>
  <c r="H79" i="1"/>
  <c r="H78" i="1"/>
  <c r="H76" i="1"/>
  <c r="H75" i="1"/>
  <c r="G75" i="1"/>
  <c r="H74" i="1"/>
  <c r="G74" i="1"/>
  <c r="H73" i="1"/>
  <c r="H71" i="1"/>
  <c r="G71" i="1"/>
  <c r="H70" i="1"/>
  <c r="G70" i="1"/>
  <c r="H69" i="1"/>
  <c r="H67" i="1"/>
  <c r="G67" i="1"/>
  <c r="H66" i="1"/>
  <c r="G66" i="1"/>
  <c r="H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H55" i="1"/>
  <c r="G55" i="1"/>
  <c r="H54" i="1"/>
  <c r="H53" i="1"/>
  <c r="H51" i="1"/>
  <c r="H50" i="1"/>
  <c r="G50" i="1"/>
  <c r="H49" i="1"/>
  <c r="H48" i="1"/>
  <c r="H47" i="1"/>
  <c r="H46" i="1"/>
  <c r="G46" i="1"/>
  <c r="H45" i="1"/>
  <c r="H44" i="1"/>
  <c r="H42" i="1"/>
  <c r="G42" i="1"/>
  <c r="H41" i="1"/>
  <c r="H40" i="1"/>
  <c r="G40" i="1"/>
  <c r="H39" i="1"/>
  <c r="G39" i="1"/>
  <c r="H34" i="1"/>
  <c r="G34" i="1"/>
  <c r="H33" i="1"/>
  <c r="G33" i="1"/>
  <c r="H32" i="1"/>
  <c r="G32" i="1"/>
  <c r="H31" i="1"/>
  <c r="G31" i="1"/>
  <c r="H30" i="1"/>
  <c r="G30" i="1"/>
  <c r="H28" i="1"/>
  <c r="G28" i="1"/>
  <c r="H27" i="1"/>
  <c r="G27" i="1"/>
  <c r="H26" i="1"/>
  <c r="G26" i="1"/>
  <c r="H24" i="1"/>
  <c r="G24" i="1"/>
  <c r="H23" i="1"/>
  <c r="H22" i="1"/>
  <c r="G22" i="1"/>
  <c r="H21" i="1"/>
  <c r="G21" i="1"/>
  <c r="H20" i="1"/>
  <c r="G20" i="1"/>
  <c r="H19" i="1"/>
  <c r="H18" i="1"/>
  <c r="H17" i="1"/>
  <c r="G17" i="1"/>
  <c r="H16" i="1"/>
  <c r="G16" i="1"/>
  <c r="H15" i="1"/>
  <c r="G15" i="1"/>
  <c r="H14" i="1"/>
  <c r="G14" i="1"/>
  <c r="H13" i="1"/>
  <c r="H12" i="1"/>
  <c r="G12" i="1"/>
  <c r="H11" i="1"/>
  <c r="G11" i="1"/>
  <c r="H10" i="1"/>
  <c r="G10" i="1"/>
  <c r="H9" i="1"/>
  <c r="H8" i="1"/>
  <c r="G8" i="1"/>
  <c r="H7" i="1"/>
  <c r="G7" i="1"/>
  <c r="H6" i="1"/>
  <c r="G6" i="1"/>
  <c r="H5" i="1"/>
  <c r="G5" i="1"/>
  <c r="H4" i="1"/>
  <c r="G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<sst xmlns="http://schemas.openxmlformats.org/spreadsheetml/2006/main" count="697" uniqueCount="430">
  <si>
    <t>PRODUCT CODE</t>
  </si>
  <si>
    <t>DESCRIPTION</t>
  </si>
  <si>
    <t>PACKAGING</t>
  </si>
  <si>
    <t>Μ.Μ.</t>
  </si>
  <si>
    <t>PURCHASE PRICE 2025</t>
  </si>
  <si>
    <t>PURCHASE PRICE 2026</t>
  </si>
  <si>
    <t>MARGHERITA SALE PRICE</t>
  </si>
  <si>
    <t>🧀 ITALIAN CHEESES</t>
  </si>
  <si>
    <t>06-212</t>
  </si>
  <si>
    <t>BURRATA CREMORE 125G IN BICCHIERE - ΜΠΟΥΡΑΤΑ ΜΕ ΓΕΜΙΣΗ ΡΙΚΟΤΑ</t>
  </si>
  <si>
    <t>125G X 8TMX</t>
  </si>
  <si>
    <t>KG</t>
  </si>
  <si>
    <t>06-202</t>
  </si>
  <si>
    <t>BURRATA PUGLIESE 125G - ΜΠΟΥΡΑΤΑ ΑΠΟ ΤΗΝ ΠΟΥΛΙΑ</t>
  </si>
  <si>
    <t>125G Χ 8TMΧ</t>
  </si>
  <si>
    <t>06-039</t>
  </si>
  <si>
    <t>BURRATINA 125G IN BICCHIERE - ΜΠΟΥΡΑΤΙΝΑ</t>
  </si>
  <si>
    <t>06-040</t>
  </si>
  <si>
    <t>STRACCIATELLA 250G IN BICCHIERE - ΣΤΡΑΤΣΙΑΤΕΛΑ</t>
  </si>
  <si>
    <t>250G Χ 8TMΧ</t>
  </si>
  <si>
    <t>05-004</t>
  </si>
  <si>
    <t>GORGONZOLA DOLCE 1/4 - ΓΚΟΡΓΚΟΝΤΖΟΛΑ ΓΛΥΚΙΑ 1/4</t>
  </si>
  <si>
    <t>±1.5KG Χ 4TMΧ</t>
  </si>
  <si>
    <t>05-005</t>
  </si>
  <si>
    <t>GORGONZOLA PICCANTE 1/4 - ΓΚΟΡΓΚΟΝΤΖΟΛΑ ΠΙΚΑΝΤΙΚΗ 1/4</t>
  </si>
  <si>
    <t>04-069</t>
  </si>
  <si>
    <t>GRANA PADANO 10 - 12 M. 1/8 - ΓΚΡΑΝΑ ΠΑΝΤΑΝΟ 10 - 12 ΜΗΝΩΝ 1/8</t>
  </si>
  <si>
    <t>±4KG Χ 4TMΧ</t>
  </si>
  <si>
    <t>04-006</t>
  </si>
  <si>
    <t>GRANA PADANO GRATTUGIATO - ΓΚΡΑΝΑ ΠΑΝΤΑΝΟ ΤΡΙΜΜΕΝΗ</t>
  </si>
  <si>
    <t>500G Χ 10TMΧ</t>
  </si>
  <si>
    <t>04-012</t>
  </si>
  <si>
    <t>GRANA PADANO FLAKES - ΓΚΡΑΝΑ ΠΑΝΤΑΝΟ ΦΛΟΥΔΕΣ</t>
  </si>
  <si>
    <t>04-004</t>
  </si>
  <si>
    <t>PARMIGIANO REGGIANO 22 - 24 M. 1/8 - ΠΑΡΜΕΖΑΝΑ ΡΕΤΖΙΑΝΟ 22 - 24 ΜΗΝΩΝ 1/8</t>
  </si>
  <si>
    <t>06-011</t>
  </si>
  <si>
    <t>MASCARPONE 250G - ΜΑΣΚΑΡΠΟΝΕ</t>
  </si>
  <si>
    <t>250G Χ 16TMΧ</t>
  </si>
  <si>
    <t>06-004</t>
  </si>
  <si>
    <t>MASCARPONE 500G - ΜΑΣΚΑΡΠΟΝΕ</t>
  </si>
  <si>
    <t>500G X 8TMX</t>
  </si>
  <si>
    <t>06-172</t>
  </si>
  <si>
    <t>MOZZARELLA CUBETTATA FUNETTA - ΜΟΤΣΑΡΕΛΑ ΣΕ ΚΥΒΟΥΣ
- Χώρα Προέλευσης:ΙΤΑΛΙΑ</t>
  </si>
  <si>
    <t>2,5KG X 4TMX</t>
  </si>
  <si>
    <t>06-005</t>
  </si>
  <si>
    <t>MOZZARELLA DI BUFALA 250G D.O.P. - ΒΟΥΒΑΛΙΣΙΑ ΜΟΤΣΑΡΕΛΑ Π.Ο.Π.</t>
  </si>
  <si>
    <t>250G Χ 12TMΧ</t>
  </si>
  <si>
    <t>06-001</t>
  </si>
  <si>
    <t>MOZZARELLA FIOR DI LATTE 125G - ΜΟΤΣΑΡΕΛΑ ΦΡΕΣΚΙΑ</t>
  </si>
  <si>
    <t>125G Χ 12TMΧ</t>
  </si>
  <si>
    <t>06-017</t>
  </si>
  <si>
    <t>MOZZARELLA JULIENNE FIOR DI LATTE NATURA SINCERA - ΜΟΤΣΑΡΕΛΑ ΤΡΙΜΜΕΝΗ ΖΟΥΛΙΕΝ</t>
  </si>
  <si>
    <t>2.5KG Χ 4TMΧ</t>
  </si>
  <si>
    <t>06-173</t>
  </si>
  <si>
    <t xml:space="preserve">MOZZARELLA JULIENNE FUNETTA - ΜΟΤΣΑΡΕΛΑ ΤΡΙΜΜΕΝΗ ΖΟΥΛΙΕΝ
</t>
  </si>
  <si>
    <t>04-007</t>
  </si>
  <si>
    <t>PECORINO ROMANO D.O.P. 1/8 - ΠΕΚΟΡΙΝΟ ΡΟΜΑΝΟ Π.Ο.Π. 1/8</t>
  </si>
  <si>
    <t>±4KG Χ 8TMΧ</t>
  </si>
  <si>
    <t>04-031</t>
  </si>
  <si>
    <t>PECORINO CROSTA NERA 1/4 - ΠΕΚΟΡΙΝΟ Τ. ΡΟΜΑΝΟ ΜΕ ΜΑΥΡΗ ΚΡΟΥΣΤΑ 1/4</t>
  </si>
  <si>
    <t>04-113</t>
  </si>
  <si>
    <t>PECORINO ROMANO D.O.P. GRATTUGIATΟ 1KG - ΠΕΚΟΡΙΝΟ ΡΟΜΑΝΟ Π.Ο.Π. ΤΡΙΜΜΕΝΟ</t>
  </si>
  <si>
    <t>1KG X 12TMX</t>
  </si>
  <si>
    <t>06-015</t>
  </si>
  <si>
    <t>SCAMORZA TRECCIONE AFFUMICATA ±2KG - ΣΚΑΜΟΡΤΣΑ ΚΑΠΝΙΣΤΗ ΠΛΕΞΟΥΔΑ</t>
  </si>
  <si>
    <t>±2KG X 2TMX</t>
  </si>
  <si>
    <t>🧀 SPANISH CHEESES</t>
  </si>
  <si>
    <t>32-008</t>
  </si>
  <si>
    <t>MANCHEGO 6 MESES D.O.P. - ΜΑΝΤΣΕΓΟ 6 ΜΗΝΩΝ Π.Ο.Π.</t>
  </si>
  <si>
    <t>±3KG Χ 2TMΧ</t>
  </si>
  <si>
    <t>32-068</t>
  </si>
  <si>
    <t>RULO DE CABRA MADURADO - ΚΑΤΣΙΚΙΣΙΟΣ ΚΟΡΜΟΣ ΜΕ ΚΡΟΥΣΤΑ</t>
  </si>
  <si>
    <t>1KG Χ 2TMΧ</t>
  </si>
  <si>
    <t>PIECE</t>
  </si>
  <si>
    <t>32-069</t>
  </si>
  <si>
    <t>RULO DE CABRA FRESCO - ΚΑΤΣΙΚΙΣΙΟΣ ΚΟΡΜΟΣ ΧΩΡΙΣ ΚΡΟΥΣΤΑ</t>
  </si>
  <si>
    <t>🧀 GREEK CHEESES</t>
  </si>
  <si>
    <t>106-008</t>
  </si>
  <si>
    <t xml:space="preserve">ΑΡΣΕΝΙΚΟ ΝΑΞΟΥ ΠΟΠ ΤΟ ΑΞΙΩΤΙΚΟ - ARSENIKO NAXOS PDO </t>
  </si>
  <si>
    <t xml:space="preserve">±3KG </t>
  </si>
  <si>
    <t>106-040</t>
  </si>
  <si>
    <t xml:space="preserve">ΓΡΑΒΙΕΡΑ ΝΑΞΟΥ ΠΟΠ ΚΕΦΑΛΙ ΠΙΤΤΑΡΑΣ ±1KG - GRAVIERA NAXOS PDO </t>
  </si>
  <si>
    <t>±1KG Χ 1ΤΜΧ</t>
  </si>
  <si>
    <t>106-083</t>
  </si>
  <si>
    <t>ΓΡΑΒΙΕΡΑ ΝΑΞΟΥ ΠΟΠ 12ΜΗΝΗΣ ΩΡΙΜΑΝΣΗΣ ΠΙΤΤΑΡΑΣ ±1KG - NAXOS GRAVIERA PDO, 12-MONTH MATURATION</t>
  </si>
  <si>
    <t>108-003</t>
  </si>
  <si>
    <t>ΜΑΣΤΕΛΟ ΧΙΟΥ ΜΑΛΑΚΟ ΤΥΡΙ ΑΠΟ ΑΓΕΛΑΔΙΝΟ ΓΑΛΑ - MASTELO CHIOS SOFT CHEESE MADE FROM COW'S MILK</t>
  </si>
  <si>
    <t>±400G X 8TMX</t>
  </si>
  <si>
    <t>104-011</t>
  </si>
  <si>
    <t>ΚΑΛΑΘΑΚΙ ΛΗΜΝΟΥ ±350G ΧΡΥΣΑΦΗ -  HRYSAFIS KALATHAKI OF LEMNOS</t>
  </si>
  <si>
    <t>±350G Χ 15ΤΜΧ</t>
  </si>
  <si>
    <t>ΚΑΛΑΘΑΚΙ ΛΗΜΝΟΥ CAN 14 KG - HRYSAFIS KALATHAKI OF LEMNOS, 14 KG CAN</t>
  </si>
  <si>
    <t>14 KG X 1 PIECE</t>
  </si>
  <si>
    <t>ΦΕΤΑ ΛΗΜΝΟΥ CAN 17 KG - FETA CHEESE OF LEMNOS, 17 KG CAN</t>
  </si>
  <si>
    <t>17 KG X 1 PIECE</t>
  </si>
  <si>
    <t>104-017</t>
  </si>
  <si>
    <t>ΚΑΣΚΑΒΑΛΙ ΛΗΜΝΟΥ ±700G ΧΡΥΣΑΦΗ - HRYSAFIS KASKAVALI OF LEMNOS</t>
  </si>
  <si>
    <t>±700G X 1TMX</t>
  </si>
  <si>
    <t>40-063</t>
  </si>
  <si>
    <t>ΜΕΛΙΧΛΩΡΟ ΛΗΜΝΟΥ ΧΡΥΣΑΦΗ - HRYSAFIS MELIXLORO OF LEMNOS</t>
  </si>
  <si>
    <t>±330G X 15TMX</t>
  </si>
  <si>
    <t>105-005</t>
  </si>
  <si>
    <t>ΚΟΠΑΝΙΣΤΗ ΤΗΝΟΥ ±1KG - KOPANISTI OF TINOS</t>
  </si>
  <si>
    <t>105-006</t>
  </si>
  <si>
    <t>ΞΙΝΟΜΥΖΗΘΡΑ ΚΡΗΤΗΣ - XINOMIZITHRA OF CRETE</t>
  </si>
  <si>
    <t>1KG Χ 20ΤΜΧ</t>
  </si>
  <si>
    <t>106-015</t>
  </si>
  <si>
    <t>ΜΕΤΣΟΒΟΝΕ ΙΔΡΥΜΑ ΤΟΣΙΤΣΑ ±1.5KG - METSOVONE</t>
  </si>
  <si>
    <t>±1.5KG Χ 1ΤΜΧ</t>
  </si>
  <si>
    <t>105-017</t>
  </si>
  <si>
    <t>ΤΣΑΛΑΦΟΥΤΙ 500G - TSALAFOUTI 500G</t>
  </si>
  <si>
    <t>±500G X 18TMX</t>
  </si>
  <si>
    <t>🥓 ITALIAN CHARCUTERIE</t>
  </si>
  <si>
    <t>02-027</t>
  </si>
  <si>
    <t>GUANCIALE STAGIONATO - ΓΚΟΥΑΝΤΣΙΑΛΕ ΩΡΙΜΑΝΣΗΣ</t>
  </si>
  <si>
    <t>±1.5KG Χ 2TMΧ</t>
  </si>
  <si>
    <t>02-011</t>
  </si>
  <si>
    <t>PANCETTA AFFUMICATA CRUDA 1/2 - ΠΑΝΣΕΤΑ ΚΑΠΝΙΣΤΗ 1/2</t>
  </si>
  <si>
    <t>±1.5KG Χ 10TMΧ</t>
  </si>
  <si>
    <t>02-104</t>
  </si>
  <si>
    <t>PANCETTA DOLCE E AFFUMICATA - ΠΑΝΣΕΤΑ ΚΑΠΝΙΣΤΗ ΓΛΥΚΙΑ</t>
  </si>
  <si>
    <t>01-013</t>
  </si>
  <si>
    <t>PROSCIUTTO COTTO GRANGOURMET 1/2 - ΦΙΛΕΤΟ ΜΠΟΥΤΙ ΒΡΑΣΤΟ</t>
  </si>
  <si>
    <t>03-001</t>
  </si>
  <si>
    <t>PROSCIUTTO CRUDO AFFET. 500G - ΠΡΟΣΟΥΤΟ ΦΕΤΕΣ</t>
  </si>
  <si>
    <t>500G Χ 6TMΧ</t>
  </si>
  <si>
    <t>01-002</t>
  </si>
  <si>
    <t>PROSCIUTTO DI PARMA S/O 13 M. - ΠΡΟΣΟΥΤΟ ΠΑΡΜΑΣ Χ/Κ 13 ΜΗΝΕΣ</t>
  </si>
  <si>
    <t>±7KG Χ 2TMΧ</t>
  </si>
  <si>
    <t>01-030</t>
  </si>
  <si>
    <t>PROSCIUTTO T. PARMA DISOSSATO PRESSATO S/Ο 9 M. SAN MICHELE - ΠΡΟΣΟΥΤΟ Τ. ΠΑΡΜΑΣ Χ/Κ 9 ΜΗΝΕΣ</t>
  </si>
  <si>
    <t>±6KG Χ 2TMΧ</t>
  </si>
  <si>
    <t>01-007</t>
  </si>
  <si>
    <t xml:space="preserve">PROSCIUTTO T. PARMA PELATELLO EMILIANO 10 Μ. - ΠΡΟΣΟΥΤΟ Τ. ΠΑΡΜΑΣ Χ/Κ ΚΑΘ/ΝΟ 10 ΜΗΝΕΣ
</t>
  </si>
  <si>
    <t>±5KG Χ 4TMΧ</t>
  </si>
  <si>
    <t>VITTORIO SIMONINI PROSCIUTTO PARMA</t>
  </si>
  <si>
    <t>T.B.A.</t>
  </si>
  <si>
    <t>02-039</t>
  </si>
  <si>
    <t>SALAME SPIANATA PICCANTE SPECIALE - ΣΠΙΑΝΑΤΑ ΠΙΚΑΝΤΙΚΗ ΚΑΛΑΒΡΙΑΣ</t>
  </si>
  <si>
    <t>±2KG Χ 2TMΧ</t>
  </si>
  <si>
    <t>02-110</t>
  </si>
  <si>
    <t>SALSICCIA PICCANTE DRITTA COATI - ΠΕΠΕΡΟΝΕ ΠΙΚΑΝΤΙΚΟ ΜΠΑΣΤΟΥΝΙ</t>
  </si>
  <si>
    <t>±600G X 18TMX</t>
  </si>
  <si>
    <t>01-011</t>
  </si>
  <si>
    <t>SPECK 1/2 - ΣΠΕΚ 1/2</t>
  </si>
  <si>
    <t>±2.7KG Χ 4TMΧ</t>
  </si>
  <si>
    <t>🥓GREEK CHARCUTERIE</t>
  </si>
  <si>
    <t>109-323</t>
  </si>
  <si>
    <t>ΛΟΥΚΑΝΙΚΟ ΠΑΡΑΔΟΣΙΑΚΟ ΧΟΙΡΙΝΟ ΜΕ ΠΡΑΣΟ ±400GR ΑΓΡΟΚΤΗΜΑ ΑΝΑΒΡΑ - TRADITIONAL PORK SAUSAGE WITH LEEK ±400GR AGROKTIMA ANAVRA</t>
  </si>
  <si>
    <t>±400G Χ 1ΤΜΧ</t>
  </si>
  <si>
    <t>109-232</t>
  </si>
  <si>
    <t xml:space="preserve">ΛΟΥΚΑΝΙΚΟ ΒΟΔΙΝΟ ±300G - BEEF SAUSAGE </t>
  </si>
  <si>
    <t>±300G Χ 1ΤΜΧ</t>
  </si>
  <si>
    <t>109-228</t>
  </si>
  <si>
    <t>ΛΟΥΚΑΝΙΚΟ ΧΩΡΙΑΤΙΚΟ  ΔΡΑΜΑΣ ΜΟΣΧΑΡΙ 350G -  BEEF SAUSAGE FROM DRAMA</t>
  </si>
  <si>
    <t>109-144</t>
  </si>
  <si>
    <t>ΜΟΡΤΑΔΕΛΑ ΑΛΕΞΑΝΔΡΕΙΑΣ ΜΕ ΦΙΣΤΙΚΙ - MORTADELLA WITH PISTACHIO</t>
  </si>
  <si>
    <t>3 KG</t>
  </si>
  <si>
    <t>109-309</t>
  </si>
  <si>
    <t xml:space="preserve">ΠΑΝΣΕΤΑ  ΧΟΙΡΙΝΗ ΨΗΤΗ NATURAL ±1.8KG - ROASTED PORK PANCETTA </t>
  </si>
  <si>
    <t>±1.8KG X 1TMX</t>
  </si>
  <si>
    <t>109-266</t>
  </si>
  <si>
    <t>ΠΑΣΤΟΥΡΜΑΣ ΡΑΧΗΣ ΚΑΡΑ/ΔΙΚΟΣ ΒΟΔΙΝΟΣ 100GR - PASTOURMA SLICES</t>
  </si>
  <si>
    <t>500GR X 1TMX</t>
  </si>
  <si>
    <t>109-318</t>
  </si>
  <si>
    <t>ΠΑΣΤΡΑΜΙ "SARY" ΨΗΤΟ ΜΟΣΧΟΥ - ROASTED BEEF PASTRAMI</t>
  </si>
  <si>
    <t>2,5KG X 1 PIECE</t>
  </si>
  <si>
    <t>109-147</t>
  </si>
  <si>
    <t xml:space="preserve">ΣΟΥΤΖΟΥΚΙ "SARY" ΚΑΡΑΜΑΝΛΙΔΙΚΟ ΑΔΑΝΩΝ ±3KG - ADANA SOUJOUK </t>
  </si>
  <si>
    <t>±3KG</t>
  </si>
  <si>
    <t>109-279</t>
  </si>
  <si>
    <t>ΣΟΥΤΖΟΥΚΙ ΠΟΛΙΤΙΚΟ ''SARY'' ΠΕΤΑΛΟ ''ΠΑΡΑΣ'' ±2KG - POLITIKO SOUZOUKI ''SARY'' ''PARAS'' ±2KG</t>
  </si>
  <si>
    <t>±2KG</t>
  </si>
  <si>
    <t>109-140</t>
  </si>
  <si>
    <t xml:space="preserve">ΜΠΕΙΚΟΝ "SARY" ΚΑΠΝΙΣΤΟ ΠΛΑΚΑ ΜΙΣΟ - "SARY" SMOKED BACON HALF </t>
  </si>
  <si>
    <t>±2,5KG</t>
  </si>
  <si>
    <t>109-159</t>
  </si>
  <si>
    <t>ΣΑΛΑΜΙ ΛΕΥΚΑΔΟΣ ΑΕΡΟΣ 200G ΠΟΛΥΧΡΟΝΟΠΟΥΛΟΣ - LEFKADA AIR-DRIED SALAMI 200G POLYCHRONOPOULOS</t>
  </si>
  <si>
    <t>200G X 1TMX</t>
  </si>
  <si>
    <t>🥓SPANISH CHARCUTERIE</t>
  </si>
  <si>
    <t>65.02.002</t>
  </si>
  <si>
    <t>CECINA DE WAGYU 2KG</t>
  </si>
  <si>
    <t>±2KG Χ 1 PIECE</t>
  </si>
  <si>
    <t>32-027</t>
  </si>
  <si>
    <t>CHORIZO PICANTE - ΤΣΟΡΙΘΟ ΠΙΚΑΝΤΙΚΟ</t>
  </si>
  <si>
    <t>200G Χ 20TMΧ</t>
  </si>
  <si>
    <t>32-022</t>
  </si>
  <si>
    <t>JAMON SERRANO PLATINΙUM S/H 13-14 M. - ΧΑΜΟΝ ΣΕΡΑΝΟ Χ/Κ 13-14 ΜΗΝΩΝ</t>
  </si>
  <si>
    <t>±6.5-8.5KG X 2TMX</t>
  </si>
  <si>
    <t>🌾🍅 FLOUR  &amp; TOMATO PRODUCTS</t>
  </si>
  <si>
    <t>11-054</t>
  </si>
  <si>
    <t>FARINA 5 STAGIONI 00/PIZZA NAPOLETANA 10KG</t>
  </si>
  <si>
    <t>10KG Χ 1TMΧ</t>
  </si>
  <si>
    <t>11-041</t>
  </si>
  <si>
    <t>FARINA 5 STAGIONI SPOLVERINA 10KG</t>
  </si>
  <si>
    <t>11-008</t>
  </si>
  <si>
    <t>SEMOLA RIMACINATA 5 STAGIONI 1KG - ΣIΜΙΓΔΑΛΙ ΨΙΛΟ</t>
  </si>
  <si>
    <t>1KG Χ 10TMΧ</t>
  </si>
  <si>
    <t>MOLINO PASINI Flour 00 MARRONE PIZZERIA 25kg </t>
  </si>
  <si>
    <t>25KG Χ 1TMΧ</t>
  </si>
  <si>
    <t>MOLINO PASINI Flour 00 MARRONE PIZZERIA 10kg </t>
  </si>
  <si>
    <t xml:space="preserve">MOLINO PASINI Flour 00 PANETTONE 25kg </t>
  </si>
  <si>
    <t>MOLINO PASINI Flour 00 PASTA D’ORO 25kg </t>
  </si>
  <si>
    <t>MOLINO PASINI  Flour 00 PASTA D’ORO 10kg </t>
  </si>
  <si>
    <t>MOLINO PASINI Flour 00 VERDE PIZZERIA 25kg  </t>
  </si>
  <si>
    <t xml:space="preserve">MOLINO PASINI “SPOLVERO”  PIZZERIA 10kg </t>
  </si>
  <si>
    <t>11-013</t>
  </si>
  <si>
    <t>LIEVITO DI BIRRA ISTANTANEO 5 STAGIONI 500G - ΜΑΓΙΑ ΞΗΡΗ</t>
  </si>
  <si>
    <t>500G Χ 20TMΧ</t>
  </si>
  <si>
    <t>FRP6384</t>
  </si>
  <si>
    <t>PETRA 6384 (PANETTONE) 12,5Kg</t>
  </si>
  <si>
    <t>12,5KG Χ 1TMΧ</t>
  </si>
  <si>
    <t>13-008</t>
  </si>
  <si>
    <t>GRAN TRITO PER PIZZA (POLPA FINE SGRONDATA) 4.05KG VIANDER - ΠΟΥΛΠΑ ΤΟΜΑΤΑΣ ΨΙΛΟΚΟΜΜΕΝΗ</t>
  </si>
  <si>
    <t>4.05KG Χ 3TMΧ</t>
  </si>
  <si>
    <t>POLPA FINISSIMA GUSTAROSSO</t>
  </si>
  <si>
    <t>4.00KG Χ 3TMΧ</t>
  </si>
  <si>
    <t>13-014</t>
  </si>
  <si>
    <t>POMODORI PELATI SAN MARZANO 2.5KG VIANDER - ΑΠΟΦΛΟΙΩΜΕΝΕΣ ΤΟΜΑΤΕΣ ΣΑΝ ΜΑΡΤΣΑΝΟ</t>
  </si>
  <si>
    <t>2.5KG Χ 6TMΧ</t>
  </si>
  <si>
    <t>POMODORO CUBETTATO GUSTAROSSO</t>
  </si>
  <si>
    <t>POMODORO SAN MARZANO
DELL’AGRO SARNESE NOCERINO
 D.O.P GUSTAROSSO</t>
  </si>
  <si>
    <t>GROCERY</t>
  </si>
  <si>
    <t>1000</t>
  </si>
  <si>
    <t>Ελαιόλαδο NN -
EXTRA VIRGIN OLIVE
OIL TIN 5LT ΧΑΝΙΑ ΚΡΗΤΗ 0,3</t>
  </si>
  <si>
    <t>5LT X 4TMX</t>
  </si>
  <si>
    <t>15-012</t>
  </si>
  <si>
    <t xml:space="preserve">ΗΛΙΕΛΑΙΟ 10LT - SUNFLOWER OIL </t>
  </si>
  <si>
    <t>ΤΕΜ</t>
  </si>
  <si>
    <t>124-003</t>
  </si>
  <si>
    <t xml:space="preserve">ΚΑΠΑΡΟΦΥΛΛΑ ΤΗΝΟΥ 700G - CAPERS LEAVES TINOS </t>
  </si>
  <si>
    <t>700G Χ 12ΤΜΧ</t>
  </si>
  <si>
    <t>14-003</t>
  </si>
  <si>
    <t>SALSA TARTUFATA - ΚΡΕΜΑ ΜΑΥΡΗΣ ΤΡΟΥΦΑΣ</t>
  </si>
  <si>
    <t>16-002</t>
  </si>
  <si>
    <t>FUNGHI PORCINI INTERI CONGELATI - ΜΑΝΙΤΑΡΙΑ ΠΟΡΤΣΙΝΙ ΚΤΨ ΟΛΟΚΛΗΡΑ</t>
  </si>
  <si>
    <t>1KG Χ 6TMΧ</t>
  </si>
  <si>
    <t>114-025</t>
  </si>
  <si>
    <t xml:space="preserve">ΚΡΙΤΑΜΟΣ ΣΕ ΑΛΜΗ 1KG 1ΚG X 12TMX - CRITHMUM IN BRINE </t>
  </si>
  <si>
    <t>1ΚG X 12TMX</t>
  </si>
  <si>
    <t>16-004</t>
  </si>
  <si>
    <t>OLIO AL TARTUFO BIANCO 250ML - ΛΑΔΙ ΛΕΥΚΗΣ ΤΡΟΥΦΑΣ</t>
  </si>
  <si>
    <t>250ML Χ 12TMΧ</t>
  </si>
  <si>
    <t>17-020</t>
  </si>
  <si>
    <t>CAPPERI ACETO LACRIMELLA 700G - ΚΑΠΑΡΗ ΞΥΔΑΤΗ ΣΕ ΣΧΗΜΑ ΔΑΚΡΥ</t>
  </si>
  <si>
    <t>700G Χ 6TMΧ</t>
  </si>
  <si>
    <t>18-005</t>
  </si>
  <si>
    <t>CREMA BALSAMICO NERO DI MODENA IGP 500ML - ΚΡΕΜΑ ΜΕ ΞΥΔΙ ΒΑΛΣΑΜΙΚΟ ΜΟΝΤΕΝΑ ΠΓΕ</t>
  </si>
  <si>
    <t>500ML Χ 12TMΧ</t>
  </si>
  <si>
    <t>125-023</t>
  </si>
  <si>
    <t>ΜΕΛΙ ΕΛΛΗΝΙΚΟ ΑΝΘΕΩΝ 900G MELIRA - GREEK FLOWER HONEY 900G MELIRA</t>
  </si>
  <si>
    <t>900 G X 12 TMX</t>
  </si>
  <si>
    <t>18-039</t>
  </si>
  <si>
    <t>ACETO BIANCO 4LT - ΞΥΔΙ ΛΕΥΚΟ</t>
  </si>
  <si>
    <t>4LT Χ 4TMΧ</t>
  </si>
  <si>
    <t>07-004</t>
  </si>
  <si>
    <t xml:space="preserve">ΚΡΕΜΑ ΓΑΛΑΚΤΟΣ TOP PRO 35% ΛΙΠΑΡΑ 1.5LT (DEBIC) - CREAM DAIRY TOP PRO 35% FAT 1.5LT </t>
  </si>
  <si>
    <t>1,5LT X 8TMX</t>
  </si>
  <si>
    <t>LTR</t>
  </si>
  <si>
    <t>06-009</t>
  </si>
  <si>
    <t>BURRO FRESCO 82% 1KG - ΒΟΥΤΥΡΟ ΦΡΕΣΚΟ</t>
  </si>
  <si>
    <t>1KG X 10TMX</t>
  </si>
  <si>
    <t>101-003</t>
  </si>
  <si>
    <t xml:space="preserve">ΓΙΑΟΥΡΤΙ ΣΤΡΑΓΓΙΣΤΟ ΑΓΕΛΑΔΙΝΟ 5KG ΑΦΡΟΣ VEDOURA - STRAINED COW'S YOGHURT </t>
  </si>
  <si>
    <t>5KG X 1TMX</t>
  </si>
  <si>
    <t>110-033</t>
  </si>
  <si>
    <t xml:space="preserve">ΤΑΡΑΜΑΣ ΓΝΗΣΙΟΣ ΛΕΥΚΟΣ 100% 2KG - WHITE TARAMAS </t>
  </si>
  <si>
    <t>2KG Χ 1TMΧ</t>
  </si>
  <si>
    <t>20-330</t>
  </si>
  <si>
    <t xml:space="preserve">ΓΚΡΑΝΟΛΑ ΤΡΑΓΑΝΕΣ ΜΠΟΥΚΙΕΣ ΜΕ ΜΕΛΙ ΚΑΙ CRANBERRY 2.5KG ZEO - GRANOLA CRUNCHY BITES WITH HONEY AND CRANBERRY </t>
  </si>
  <si>
    <t>2,5KG X 1 BOX</t>
  </si>
  <si>
    <t>BOX</t>
  </si>
  <si>
    <t>113-041</t>
  </si>
  <si>
    <t>ΠΑΞΙΜΑΔΙΑ ΜΠΟΥΚΙΤΣΕΣ ΧΑΡΟΥΠΙΟΥ ΜΕ ΕΛΑΙΟΛΑΔΟ 400G ΤΣΑΤΣΑΚΗΣ - CAROB BITE-SIZED RUSKS WITH OLIVE OIL 400G TSATSAKIS</t>
  </si>
  <si>
    <t>400G X 12TMX</t>
  </si>
  <si>
    <t>20-396</t>
  </si>
  <si>
    <t xml:space="preserve">ΚΡΙΤΣΙΝΙ ΧΑΡΟΥΠΙ 20CM (11G) 3KG ZEO - CAROB BREADSTICK 20 CM </t>
  </si>
  <si>
    <t>3KG Χ 1ΤΜΧ</t>
  </si>
  <si>
    <t>ΒΟΧ</t>
  </si>
  <si>
    <t>81-054</t>
  </si>
  <si>
    <t xml:space="preserve">ΚΡΙΤΣΙΝΙ RETAIL ΟΛΙΚΗΣ RUSTIC 20CM KOYTAKI 160GX12TMX ZEO - BREADSTICK RETAIL WHOLE WHEAT RUSTIC 20 CM BOX </t>
  </si>
  <si>
    <t>160G X 12TMX</t>
  </si>
  <si>
    <t>81-058</t>
  </si>
  <si>
    <t xml:space="preserve">ΚΡΙΤΣΙΝΙ RETAIL ΚΕΦΑΛΟΤΥΡΙ 20CM ΚΟΥΤΑΚΙ 160GX12TMX ZEO - BREADSTICK RETAIL KEFALOTYRI CHEESE 20 CM BOX </t>
  </si>
  <si>
    <t>21-121</t>
  </si>
  <si>
    <t>ΣΚΟΥΜΠΡΙ ΦΙΛΕΤΟ ΚΑΠΝΙΣΤΟ 1.7KG PALTSIDIS - SMOKED MACKEREL FILLET 1.7KG PALTSIDIS</t>
  </si>
  <si>
    <t>1,7KG X 6TMX</t>
  </si>
  <si>
    <t>15-072</t>
  </si>
  <si>
    <t>ΕΛΙΕΣ ΚΑΛΑΜΩΝ (180-200) 5KG - KALAMATA OLIVES (180-200) 5KG</t>
  </si>
  <si>
    <t>19-010</t>
  </si>
  <si>
    <t xml:space="preserve">ΡΙΓΑΝΗ ΕΛΛΗΝΙΚΗ 500G - GREEK OREGANO </t>
  </si>
  <si>
    <t>500G Χ 30TMΧ</t>
  </si>
  <si>
    <t>19-042</t>
  </si>
  <si>
    <t>ΘΥΜΑΡΙ - THYME</t>
  </si>
  <si>
    <t>Chili Peppers</t>
  </si>
  <si>
    <t>19-003</t>
  </si>
  <si>
    <t xml:space="preserve">ΠΙΠΕΡΙ ΜΑΥΡΟ ΤΡΙΜΜΕΝΟ - PEPE NERO IN BUSTA MACINATO </t>
  </si>
  <si>
    <t>BLACK GARLIC</t>
  </si>
  <si>
    <t>SMOKED EEL</t>
  </si>
  <si>
    <r>
      <t xml:space="preserve">🍝 </t>
    </r>
    <r>
      <rPr>
        <b/>
        <sz val="11"/>
        <color theme="1"/>
        <rFont val="Aptos Narrow"/>
        <family val="2"/>
        <charset val="161"/>
        <scheme val="minor"/>
      </rPr>
      <t>PASTA</t>
    </r>
  </si>
  <si>
    <t>08-137</t>
  </si>
  <si>
    <t>RUMMO PACCHERI No 111 12X500G</t>
  </si>
  <si>
    <t>12X500G</t>
  </si>
  <si>
    <t>08-126</t>
  </si>
  <si>
    <t>RUMMO SPAGHETTI GROSSI No 5 24X500G</t>
  </si>
  <si>
    <t>500G Χ 24TMΧ</t>
  </si>
  <si>
    <t>08-127</t>
  </si>
  <si>
    <t>RUMMO LINGUINE No 13 24X500G</t>
  </si>
  <si>
    <t>08-138</t>
  </si>
  <si>
    <t>RUMMO LINGUINE No 13 4X3KG</t>
  </si>
  <si>
    <t>3KG Χ 4TMΧ</t>
  </si>
  <si>
    <t>08-128</t>
  </si>
  <si>
    <t>RUMMO RIGATONI No 50 16X500G</t>
  </si>
  <si>
    <t>500G Χ 16TMΧ</t>
  </si>
  <si>
    <t>08-131</t>
  </si>
  <si>
    <t>RUMMO SEMI DI ORZO No 27 16X500G</t>
  </si>
  <si>
    <t>08-139</t>
  </si>
  <si>
    <t>RUMMO PENNE RIGATE No 66 4X3KG</t>
  </si>
  <si>
    <t>08-154</t>
  </si>
  <si>
    <t>RUMMO MEZZI RIGATONI No 51 4X3KG</t>
  </si>
  <si>
    <t>3KG X 4TMX</t>
  </si>
  <si>
    <t>08-190</t>
  </si>
  <si>
    <t>RUMMO PAPPARDELLE ALL' UOVO No 101 12X250G</t>
  </si>
  <si>
    <t>08-155</t>
  </si>
  <si>
    <t>RUMMO CASARECCE No 88 16X500G</t>
  </si>
  <si>
    <t>08-195</t>
  </si>
  <si>
    <t>RUMMO GNOCCHI DI PATATE No 117 8X500G</t>
  </si>
  <si>
    <t>500G Χ 8TMΧ</t>
  </si>
  <si>
    <t>09-037</t>
  </si>
  <si>
    <t>FREGOLA SARDA 500G - ΚΟΥΣ ΚΟΥΣ</t>
  </si>
  <si>
    <t>500G X 12TMX</t>
  </si>
  <si>
    <t>25-066</t>
  </si>
  <si>
    <t>GNOCCHI DI PATATE 10Χ1KG CANUTI (FROZEN)</t>
  </si>
  <si>
    <t>25-163</t>
  </si>
  <si>
    <t>TAGLIATELLE ALL' UOVO 2KG CANUTI (FROZEN)</t>
  </si>
  <si>
    <t>12-019</t>
  </si>
  <si>
    <t>RISO CARNAROLI CASCINA 1KG</t>
  </si>
  <si>
    <t>1 KG x 12 ΤΜΧ</t>
  </si>
  <si>
    <t>🍄WHITE FRESH MUSHROOMS</t>
  </si>
  <si>
    <t>BOLETUS AEREUS (PORCINI)</t>
  </si>
  <si>
    <t>U.R.</t>
  </si>
  <si>
    <t>CANTHARELLUS</t>
  </si>
  <si>
    <t>AMANITA CAESAREA (ΚΑΙΣΑΡΙΚΟ)</t>
  </si>
  <si>
    <t>WILD MIX</t>
  </si>
  <si>
    <t>🍄TRUFFLE</t>
  </si>
  <si>
    <t>TUBER UNCINATUM (ΜΑΥΡΗ ΦΘΙΝΟΠΩΡΙΝΗ ΤΡΟΥΦΑ)</t>
  </si>
  <si>
    <t>TUBER MESENTERICUM (ΜΑΥΡΗ ΧΕΙΜΕΡΙΝΗ ΤΡΟΥΦΑ)</t>
  </si>
  <si>
    <t>MELANOSPORUM</t>
  </si>
  <si>
    <t>WHITE TRUFFLE</t>
  </si>
  <si>
    <t>TRUFFLE BUTTER</t>
  </si>
  <si>
    <t xml:space="preserve">🍄DRIED MUSHROOMS </t>
  </si>
  <si>
    <t>FOREST MIX 100GR</t>
  </si>
  <si>
    <t>MORELS</t>
  </si>
  <si>
    <t>BLACK TRUMPET</t>
  </si>
  <si>
    <t>☕ COFFEE &amp;  BEVERAGES</t>
  </si>
  <si>
    <t>27-0001-0068</t>
  </si>
  <si>
    <t>ESPRESSO COFFEE 100% ARABICA 1KG DECAF</t>
  </si>
  <si>
    <t>1X6KG</t>
  </si>
  <si>
    <t>27-0001-0010</t>
  </si>
  <si>
    <t>ESPRESSO COFFEE 100% ARABICA 1KG B.10</t>
  </si>
  <si>
    <t xml:space="preserve">ΣΟΚΟΛΑΤΑ GOLDEN CHOCOLULU - CHOCOLATE GOLDEN </t>
  </si>
  <si>
    <t>1KG</t>
  </si>
  <si>
    <t xml:space="preserve">ΣΟΚΟΛΑΤΑ FREDDA CHOCOLULU - CHOCOLATE FREDDA </t>
  </si>
  <si>
    <t>ΣΟΚΟΛΑΤΑ AVEK BITTER - CHOCOLATE BITTER</t>
  </si>
  <si>
    <t>ΜΙΓΜΑ ΓΙΑ ΡΟΦΗΜΑ TIN 1KG WHITE
CHOCOLULU - MIX FOR DRINK TIN 1KG WHITE</t>
  </si>
  <si>
    <t>ΣΚΟΝΗ ΚΑΚΑΟ TIN HAZELNUT CHOCOLULU (Κουτί με σακ.) - COCOA POWDER HAZELNUT (WITH BOX)</t>
  </si>
  <si>
    <t>400GR</t>
  </si>
  <si>
    <t>ΣΚΟΝΗ ΚΑΚΑΟ TIN SALTED CARAMEL
CHOCOLULU (Κουτί με σακ.) - COCOA POWDER SALTED CARAMEL (WITH BOX)</t>
  </si>
  <si>
    <t>ΣΚΟΝΗ ΚΑΚΑΟ TIN PEANUT BUTTER
BANANA CHOCOLULU (Κουτί με σακ.) - COCOA POWDER PEANUT BUTTER BANANA (WITH BOX)</t>
  </si>
  <si>
    <t>ΣΚΟΝΗ ΚΑΚΑΟ TIN STRAWBERRY
CHOCOLULU (Κουτί με σακ.) - COCOA POWDER STRAWBERRY (WITH BOX)</t>
  </si>
  <si>
    <t>ΜΙΓΜΑ ΓΙΑ ΡΟΦΗΜΑ TIN LEMON PIE
CHOCOLULU (Κουτί με σακ.) - MIX FOR DRINK LEMON PIE (WITH BOX)</t>
  </si>
  <si>
    <t xml:space="preserve">ΣΚΟΝΗ ΚΑΚΑΟ HAZELNUT CHOCOLULU - COCOA POWDER HAZELNUT </t>
  </si>
  <si>
    <t xml:space="preserve">ΣΚΟΝΗ ΚΑΚΑΟ SALTED CARAMEL CHOCOLULU - COCOA POWDER SALTED CARAMEL </t>
  </si>
  <si>
    <t xml:space="preserve">ΣΚΟΝΗ ΚΑΚΑΟ PEANUT BUTTER BANANA CHOCOLULU - COCOA POWDER PEANUT BUTTER BANANA </t>
  </si>
  <si>
    <t xml:space="preserve">ΣΚΟΝΗ ΚΑΚΑΟ STRAWBERRY CHOCOLULU - COCOA POWDER STRAWBERRY </t>
  </si>
  <si>
    <t xml:space="preserve">ΜΙΓΜΑ ΓΙΑ ΡΟΦΗΜΑ LEMON PIE CHOCOLULU - MIX FOR DRINK LEMON PIE </t>
  </si>
  <si>
    <t xml:space="preserve">BLUE SPIRULINA ΣΚΟΝΗ ORG . LAB - BLUE SPIRULINA POWDER </t>
  </si>
  <si>
    <t>50 GR</t>
  </si>
  <si>
    <t xml:space="preserve">PURPLE SWEET POTATO ΣΚΟΝΗ ORG . LAB  - PURPLE SWEET POTATO POWDER </t>
  </si>
  <si>
    <t>70 GR</t>
  </si>
  <si>
    <t xml:space="preserve">ACAI POWDER ORGANIC ΣΚΟΝΗ ORG.LAB - ACAI POWDER ORGANIC POWDER </t>
  </si>
  <si>
    <t xml:space="preserve">BLACK GOJI ΣΚΟΝΗ ORG.LAB - BLACK GOJI POWDER </t>
  </si>
  <si>
    <t xml:space="preserve">MAQUI BERRY ΣΚΟΝΗ ORG.LAB - MAQUI BERRY POWDER </t>
  </si>
  <si>
    <t>PASSION FRUIT ΣΚΟΝΗ ORG.LAB - PASSION FRUIT POWDER</t>
  </si>
  <si>
    <t xml:space="preserve">BUTTERFLY PEA ΣΚΟΝΗ ORG. LAB - BUTTERFLY PEA POWDER </t>
  </si>
  <si>
    <t xml:space="preserve">PINK PITAYA ΣΚΟΝΗ ORG. LAB - PINK PITAYA POWDER </t>
  </si>
  <si>
    <t xml:space="preserve">MATCHA POWDER ORGANIC ΣΚΟΝΗ ORG. LAB - MATCHA POWDER ORGANIC POWDER </t>
  </si>
  <si>
    <t xml:space="preserve">BEETROOT ORGANIC ΣΚΟΝΗ ORG. LAB - BEETROOT ORGANIC POWDER </t>
  </si>
  <si>
    <t xml:space="preserve">CURCUMIN YELLOW ORGANIC ΣΚΟΝΗ ORG. LAB - CURCUMIN YELLOW ORGANIC POWDER </t>
  </si>
  <si>
    <t xml:space="preserve">PRICKLY PEAR ΣΚΟΝΗ ORG. LAB - PRICKLY PEAR POWDER </t>
  </si>
  <si>
    <t>ΡΟΦΗΜΑ SPICED CHAI - DRINK SPICED CHAI</t>
  </si>
  <si>
    <t xml:space="preserve">ΡΟΦΗΜΑ SPICED CHAI ONE &amp; ONLY - DRINK SPICED CHAI </t>
  </si>
  <si>
    <t>250GR</t>
  </si>
  <si>
    <t xml:space="preserve">ΡΟΦΗΜΑ MATCHA LATTE ONE &amp; ONLY - DRINK MATCHA LATTE </t>
  </si>
  <si>
    <t>270GR</t>
  </si>
  <si>
    <t xml:space="preserve">ΡΟΦΗΜΑ PINK SUPERFOOD ONE &amp; ONLY - DRINK PINK SUPERFOOD </t>
  </si>
  <si>
    <t>🥤 NON‑ALCOHOLIC BEVERAGES</t>
  </si>
  <si>
    <t>X-ΛΕΤΖ-Σ-7</t>
  </si>
  <si>
    <t>GINGER LEMONADE SOFT DRINK CONCENTRATE w/STEVIA 750ml</t>
  </si>
  <si>
    <t>1 x 6PIECES</t>
  </si>
  <si>
    <t>Τ-ΜΑΤ-ΧΣ-7</t>
  </si>
  <si>
    <t>LEMON MATCHA TEA SOFT DRINK CONCENTRATE w/ GRAPE JUICE 750ml</t>
  </si>
  <si>
    <t>🍫 CHOCOLATE &amp; PASTRY</t>
  </si>
  <si>
    <t>652-020</t>
  </si>
  <si>
    <t>ΣΟΚΟΛΑΤΑ ΓΑΛΑΚΤΟΣ 823 ΣΕ ΣΤΑΓΟΝΕΣ- CALLEBAUT (10KG) - MILK CHOCOLATE IN DROPS</t>
  </si>
  <si>
    <t>10KG/BG</t>
  </si>
  <si>
    <t>652-015</t>
  </si>
  <si>
    <t>ΣΟΚΟΛΑΤΑ ΥΓΕΙΑΣ 70/30 ΣΕ ΣΤΑΓΟΝΑ- CALLEBAUT (10KG) - DARK CHOCOLATE IN DROP</t>
  </si>
  <si>
    <t>652-061</t>
  </si>
  <si>
    <t>ΣΟΚΟΛΑΤΑ GIANDUIA GIA ΣΕ ΠΛΑΚΑ- CALLEBAUT (5KG) - GIANDUIA CHOCOLATE IN BAR</t>
  </si>
  <si>
    <t>5UC/BOX</t>
  </si>
  <si>
    <t>652-023</t>
  </si>
  <si>
    <t>ΣΟΚΟΛΑΤΑ ΛΕΥΚΗ VELVET ΣΕ ΣΤΑΓΟΝΕΣ- CALLEBAUT (10KG) - WHITE CHOCOLATE VELVET IN DROPS</t>
  </si>
  <si>
    <t>652-024</t>
  </si>
  <si>
    <t>ΣΟΚΟΛΑΤΑ ΛΕΥΚΗ W2NV ΣΕ ΣΤΑΓΟΝΕΣ- CALLEBAUT (10KG) - WHITE CHOCOLATE IN DROPS</t>
  </si>
  <si>
    <t>010-068-1</t>
  </si>
  <si>
    <t>ΚΑΚΑΟ 20-22%- DE ZAAN (2KG)  - COCOA</t>
  </si>
  <si>
    <t>2KG/BG</t>
  </si>
  <si>
    <t>20-024</t>
  </si>
  <si>
    <t>BISCOTTI SAVOIARDI VICENZI</t>
  </si>
  <si>
    <t>200G Χ 12TMΧ</t>
  </si>
  <si>
    <t>20-103</t>
  </si>
  <si>
    <t>CANNOLI SICILIANI GRANDE 25GX108TMX</t>
  </si>
  <si>
    <t>25G X 108TMΧ</t>
  </si>
  <si>
    <t>SPECIAL INGREDIENTS</t>
  </si>
  <si>
    <t>Συγκεντρωτής Υγρασίας SOSA 20 σακουλάκια</t>
  </si>
  <si>
    <t>YUZU KOSHO SOKO OKAYABASHI</t>
  </si>
  <si>
    <t xml:space="preserve"> – To Be Announced</t>
  </si>
  <si>
    <t xml:space="preserve"> – Under Request</t>
  </si>
  <si>
    <t xml:space="preserve"> SALE PRICE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</si>
</sst>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8"/>
      <color theme="1"/>
      <name val="Tahoma"/>
      <family val="2"/>
      <charset val="161"/>
    </font>
    <font>
      <b/>
      <sz val="11"/>
      <color theme="1"/>
      <name val="Aptos Narrow"/>
      <family val="2"/>
      <scheme val="minor"/>
    </font>
    <font>
      <sz val="8"/>
      <color theme="1"/>
      <name val="Tahoma"/>
      <family val="2"/>
      <charset val="161"/>
    </font>
    <font>
      <sz val="11"/>
      <color theme="9" tint="-0.249977111117893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7E6"/>
        <bgColor indexed="64"/>
      </patternFill>
    </fill>
    <fill>
      <patternFill patternType="solid">
        <fgColor rgb="FFD6D1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BED0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98763A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AC56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/>
    </xf>
    <xf numFmtId="49" fontId="5" fillId="4" borderId="7" xfId="0" applyNumberFormat="1" applyFont="1" applyFill="1" applyBorder="1" applyAlignment="1">
      <alignment horizontal="left"/>
    </xf>
    <xf numFmtId="49" fontId="5" fillId="4" borderId="8" xfId="0" applyNumberFormat="1" applyFon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49" fontId="5" fillId="4" borderId="9" xfId="0" applyNumberFormat="1" applyFont="1" applyFill="1" applyBorder="1" applyAlignment="1">
      <alignment horizontal="center"/>
    </xf>
    <xf numFmtId="49" fontId="5" fillId="4" borderId="9" xfId="0" applyNumberFormat="1" applyFont="1" applyFill="1" applyBorder="1" applyAlignment="1">
      <alignment horizontal="left"/>
    </xf>
    <xf numFmtId="49" fontId="5" fillId="4" borderId="10" xfId="0" applyNumberFormat="1" applyFon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4" borderId="8" xfId="0" applyNumberFormat="1" applyFont="1" applyFill="1" applyBorder="1" applyAlignment="1">
      <alignment horizontal="left"/>
    </xf>
    <xf numFmtId="164" fontId="0" fillId="4" borderId="8" xfId="0" applyNumberForma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49" fontId="5" fillId="4" borderId="7" xfId="0" applyNumberFormat="1" applyFont="1" applyFill="1" applyBorder="1" applyAlignment="1">
      <alignment horizontal="left" vertical="center" wrapText="1"/>
    </xf>
    <xf numFmtId="164" fontId="1" fillId="4" borderId="8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49" fontId="5" fillId="4" borderId="7" xfId="0" applyNumberFormat="1" applyFont="1" applyFill="1" applyBorder="1" applyAlignment="1">
      <alignment horizontal="left" vertical="top" wrapText="1"/>
    </xf>
    <xf numFmtId="49" fontId="5" fillId="0" borderId="9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left"/>
    </xf>
    <xf numFmtId="164" fontId="0" fillId="0" borderId="9" xfId="0" applyNumberFormat="1" applyBorder="1" applyAlignment="1">
      <alignment horizontal="center"/>
    </xf>
    <xf numFmtId="164" fontId="6" fillId="4" borderId="9" xfId="0" applyNumberFormat="1" applyFont="1" applyFill="1" applyBorder="1" applyAlignment="1">
      <alignment horizontal="center"/>
    </xf>
    <xf numFmtId="49" fontId="5" fillId="4" borderId="8" xfId="0" applyNumberFormat="1" applyFont="1" applyFill="1" applyBorder="1" applyAlignment="1">
      <alignment horizontal="left" wrapText="1"/>
    </xf>
    <xf numFmtId="49" fontId="5" fillId="0" borderId="8" xfId="0" applyNumberFormat="1" applyFont="1" applyBorder="1" applyAlignment="1">
      <alignment horizontal="center"/>
    </xf>
    <xf numFmtId="49" fontId="5" fillId="4" borderId="8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/>
    </xf>
    <xf numFmtId="0" fontId="0" fillId="11" borderId="7" xfId="0" applyFill="1" applyBorder="1" applyAlignment="1">
      <alignment horizontal="center"/>
    </xf>
    <xf numFmtId="164" fontId="0" fillId="11" borderId="7" xfId="0" applyNumberForma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11" borderId="8" xfId="0" applyFill="1" applyBorder="1" applyAlignment="1">
      <alignment horizontal="center"/>
    </xf>
    <xf numFmtId="164" fontId="0" fillId="11" borderId="9" xfId="0" applyNumberForma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164" fontId="0" fillId="11" borderId="8" xfId="0" applyNumberFormat="1" applyFill="1" applyBorder="1" applyAlignment="1">
      <alignment horizontal="center"/>
    </xf>
    <xf numFmtId="49" fontId="5" fillId="4" borderId="8" xfId="0" applyNumberFormat="1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>
      <alignment horizontal="left" vertical="center"/>
    </xf>
    <xf numFmtId="49" fontId="5" fillId="4" borderId="9" xfId="0" applyNumberFormat="1" applyFont="1" applyFill="1" applyBorder="1" applyAlignment="1">
      <alignment horizontal="left" vertical="center"/>
    </xf>
    <xf numFmtId="49" fontId="5" fillId="15" borderId="7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90EB-9F3D-4AB2-90FF-E00EA7F9F154}">
  <dimension ref="A1:H201"/>
  <sheetViews>
    <sheetView tabSelected="1" workbookViewId="0">
      <selection activeCell="H2" sqref="H2"/>
    </sheetView>
  </sheetViews>
  <sheetFormatPr defaultRowHeight="14.25" x14ac:dyDescent="0.45"/>
  <cols>
    <col min="1" max="1" width="8.9296875" style="1" customWidth="1"/>
    <col min="2" max="2" width="63.06640625" style="47" customWidth="1"/>
    <col min="3" max="3" width="14.796875" style="1" customWidth="1"/>
    <col min="4" max="4" width="4.53125" style="1" customWidth="1"/>
    <col min="5" max="6" width="9.1328125" style="48" customWidth="1"/>
    <col min="7" max="7" width="10.796875" style="48" customWidth="1"/>
    <col min="8" max="16384" width="9.06640625" style="1"/>
  </cols>
  <sheetData>
    <row r="1" spans="1:8" ht="52.9" customHeight="1" thickBot="1" x14ac:dyDescent="0.5">
      <c r="A1" s="76" t="e" vm="1">
        <v>#VALUE!</v>
      </c>
      <c r="B1" s="77"/>
      <c r="C1" s="77"/>
      <c r="D1" s="77"/>
      <c r="E1" s="77"/>
      <c r="F1" s="77"/>
      <c r="G1" s="77"/>
      <c r="H1" s="78"/>
    </row>
    <row r="2" spans="1:8" ht="19.899999999999999" thickBot="1" x14ac:dyDescent="0.5">
      <c r="A2" s="85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4" t="s">
        <v>429</v>
      </c>
    </row>
    <row r="3" spans="1:8" ht="14.65" thickBot="1" x14ac:dyDescent="0.5">
      <c r="A3" s="79" t="s">
        <v>7</v>
      </c>
      <c r="B3" s="80"/>
      <c r="C3" s="80"/>
      <c r="D3" s="80"/>
      <c r="E3" s="80"/>
      <c r="F3" s="80"/>
      <c r="G3" s="80"/>
      <c r="H3" s="81"/>
    </row>
    <row r="4" spans="1:8" s="9" customFormat="1" x14ac:dyDescent="0.45">
      <c r="A4" s="5" t="s">
        <v>8</v>
      </c>
      <c r="B4" s="6" t="s">
        <v>9</v>
      </c>
      <c r="C4" s="5" t="s">
        <v>10</v>
      </c>
      <c r="D4" s="7" t="s">
        <v>11</v>
      </c>
      <c r="E4" s="8">
        <v>13.25</v>
      </c>
      <c r="F4" s="8"/>
      <c r="G4" s="8">
        <f>E4*1.4</f>
        <v>18.549999999999997</v>
      </c>
      <c r="H4" s="8">
        <f>E4*1.6</f>
        <v>21.200000000000003</v>
      </c>
    </row>
    <row r="5" spans="1:8" s="9" customFormat="1" x14ac:dyDescent="0.45">
      <c r="A5" s="5" t="s">
        <v>12</v>
      </c>
      <c r="B5" s="6" t="s">
        <v>13</v>
      </c>
      <c r="C5" s="5" t="s">
        <v>14</v>
      </c>
      <c r="D5" s="7" t="s">
        <v>11</v>
      </c>
      <c r="E5" s="8">
        <v>11.6</v>
      </c>
      <c r="F5" s="10">
        <v>11.35</v>
      </c>
      <c r="G5" s="8">
        <f>E5*1.4</f>
        <v>16.239999999999998</v>
      </c>
      <c r="H5" s="8">
        <f>F5*1.6</f>
        <v>18.16</v>
      </c>
    </row>
    <row r="6" spans="1:8" s="9" customFormat="1" x14ac:dyDescent="0.45">
      <c r="A6" s="5" t="s">
        <v>15</v>
      </c>
      <c r="B6" s="6" t="s">
        <v>16</v>
      </c>
      <c r="C6" s="5" t="s">
        <v>14</v>
      </c>
      <c r="D6" s="7" t="s">
        <v>11</v>
      </c>
      <c r="E6" s="8">
        <v>13.4</v>
      </c>
      <c r="F6" s="10">
        <v>11.6</v>
      </c>
      <c r="G6" s="8">
        <f>E6*1.4</f>
        <v>18.759999999999998</v>
      </c>
      <c r="H6" s="8">
        <f>F6*1.6</f>
        <v>18.559999999999999</v>
      </c>
    </row>
    <row r="7" spans="1:8" s="9" customFormat="1" x14ac:dyDescent="0.45">
      <c r="A7" s="11" t="s">
        <v>17</v>
      </c>
      <c r="B7" s="12" t="s">
        <v>18</v>
      </c>
      <c r="C7" s="11" t="s">
        <v>19</v>
      </c>
      <c r="D7" s="13" t="s">
        <v>11</v>
      </c>
      <c r="E7" s="14">
        <v>12.45</v>
      </c>
      <c r="F7" s="14"/>
      <c r="G7" s="14">
        <f>E7*1.4</f>
        <v>17.429999999999996</v>
      </c>
      <c r="H7" s="14">
        <f>E7*1.6</f>
        <v>19.920000000000002</v>
      </c>
    </row>
    <row r="8" spans="1:8" s="9" customFormat="1" x14ac:dyDescent="0.45">
      <c r="A8" s="5" t="s">
        <v>20</v>
      </c>
      <c r="B8" s="6" t="s">
        <v>21</v>
      </c>
      <c r="C8" s="5" t="s">
        <v>22</v>
      </c>
      <c r="D8" s="5" t="s">
        <v>11</v>
      </c>
      <c r="E8" s="8">
        <v>10.9</v>
      </c>
      <c r="F8" s="8">
        <v>10.9</v>
      </c>
      <c r="G8" s="8">
        <f>E8*1.4</f>
        <v>15.26</v>
      </c>
      <c r="H8" s="8">
        <f>F8*1.6</f>
        <v>17.440000000000001</v>
      </c>
    </row>
    <row r="9" spans="1:8" s="9" customFormat="1" x14ac:dyDescent="0.45">
      <c r="A9" s="5" t="s">
        <v>23</v>
      </c>
      <c r="B9" s="6" t="s">
        <v>24</v>
      </c>
      <c r="C9" s="5" t="s">
        <v>22</v>
      </c>
      <c r="D9" s="7" t="s">
        <v>11</v>
      </c>
      <c r="E9" s="8">
        <v>13.3</v>
      </c>
      <c r="F9" s="10">
        <v>13.05</v>
      </c>
      <c r="G9" s="15">
        <v>16.62</v>
      </c>
      <c r="H9" s="8">
        <f>F9*1.6</f>
        <v>20.880000000000003</v>
      </c>
    </row>
    <row r="10" spans="1:8" s="9" customFormat="1" x14ac:dyDescent="0.45">
      <c r="A10" s="5" t="s">
        <v>25</v>
      </c>
      <c r="B10" s="6" t="s">
        <v>26</v>
      </c>
      <c r="C10" s="5" t="s">
        <v>27</v>
      </c>
      <c r="D10" s="7" t="s">
        <v>11</v>
      </c>
      <c r="E10" s="8">
        <v>11.85</v>
      </c>
      <c r="F10" s="8"/>
      <c r="G10" s="8">
        <f>E10*1.4</f>
        <v>16.59</v>
      </c>
      <c r="H10" s="8">
        <f>E10*1.6</f>
        <v>18.96</v>
      </c>
    </row>
    <row r="11" spans="1:8" s="9" customFormat="1" x14ac:dyDescent="0.45">
      <c r="A11" s="5" t="s">
        <v>28</v>
      </c>
      <c r="B11" s="6" t="s">
        <v>29</v>
      </c>
      <c r="C11" s="5" t="s">
        <v>30</v>
      </c>
      <c r="D11" s="7" t="s">
        <v>11</v>
      </c>
      <c r="E11" s="8">
        <v>14</v>
      </c>
      <c r="F11" s="8"/>
      <c r="G11" s="8">
        <f>E11*1.4</f>
        <v>19.599999999999998</v>
      </c>
      <c r="H11" s="8">
        <f>E11*1.6</f>
        <v>22.400000000000002</v>
      </c>
    </row>
    <row r="12" spans="1:8" s="9" customFormat="1" x14ac:dyDescent="0.45">
      <c r="A12" s="5" t="s">
        <v>31</v>
      </c>
      <c r="B12" s="6" t="s">
        <v>32</v>
      </c>
      <c r="C12" s="5" t="s">
        <v>30</v>
      </c>
      <c r="D12" s="7" t="s">
        <v>11</v>
      </c>
      <c r="E12" s="8"/>
      <c r="F12" s="8">
        <v>13.95</v>
      </c>
      <c r="G12" s="8">
        <f>F12*1.4</f>
        <v>19.529999999999998</v>
      </c>
      <c r="H12" s="8">
        <f>F12*1.6</f>
        <v>22.32</v>
      </c>
    </row>
    <row r="13" spans="1:8" s="9" customFormat="1" x14ac:dyDescent="0.45">
      <c r="A13" s="5" t="s">
        <v>33</v>
      </c>
      <c r="B13" s="6" t="s">
        <v>34</v>
      </c>
      <c r="C13" s="5" t="s">
        <v>27</v>
      </c>
      <c r="D13" s="7" t="s">
        <v>11</v>
      </c>
      <c r="E13" s="8">
        <v>18.399999999999999</v>
      </c>
      <c r="F13" s="16">
        <v>21.15</v>
      </c>
      <c r="G13" s="8">
        <v>22</v>
      </c>
      <c r="H13" s="8">
        <f t="shared" ref="H13:H19" si="0">F13*1.6</f>
        <v>33.839999999999996</v>
      </c>
    </row>
    <row r="14" spans="1:8" s="9" customFormat="1" x14ac:dyDescent="0.45">
      <c r="A14" s="5" t="s">
        <v>35</v>
      </c>
      <c r="B14" s="6" t="s">
        <v>36</v>
      </c>
      <c r="C14" s="5" t="s">
        <v>37</v>
      </c>
      <c r="D14" s="7" t="s">
        <v>11</v>
      </c>
      <c r="E14" s="8">
        <v>8.75</v>
      </c>
      <c r="F14" s="8">
        <v>8.75</v>
      </c>
      <c r="G14" s="8">
        <f>E14*1.4</f>
        <v>12.25</v>
      </c>
      <c r="H14" s="8">
        <f t="shared" si="0"/>
        <v>14</v>
      </c>
    </row>
    <row r="15" spans="1:8" s="9" customFormat="1" x14ac:dyDescent="0.45">
      <c r="A15" s="5" t="s">
        <v>38</v>
      </c>
      <c r="B15" s="6" t="s">
        <v>39</v>
      </c>
      <c r="C15" s="17" t="s">
        <v>40</v>
      </c>
      <c r="D15" s="7" t="s">
        <v>11</v>
      </c>
      <c r="E15" s="8">
        <v>8.5</v>
      </c>
      <c r="F15" s="8">
        <v>8.5</v>
      </c>
      <c r="G15" s="8">
        <f>E15*1.4</f>
        <v>11.899999999999999</v>
      </c>
      <c r="H15" s="8">
        <f t="shared" si="0"/>
        <v>13.600000000000001</v>
      </c>
    </row>
    <row r="16" spans="1:8" s="9" customFormat="1" x14ac:dyDescent="0.45">
      <c r="A16" s="5" t="s">
        <v>41</v>
      </c>
      <c r="B16" s="6" t="s">
        <v>42</v>
      </c>
      <c r="C16" s="17" t="s">
        <v>43</v>
      </c>
      <c r="D16" s="7" t="s">
        <v>11</v>
      </c>
      <c r="E16" s="8">
        <v>6.9</v>
      </c>
      <c r="F16" s="8">
        <v>6.9</v>
      </c>
      <c r="G16" s="8">
        <f>E16*1.4</f>
        <v>9.66</v>
      </c>
      <c r="H16" s="8">
        <f t="shared" si="0"/>
        <v>11.040000000000001</v>
      </c>
    </row>
    <row r="17" spans="1:8" s="9" customFormat="1" x14ac:dyDescent="0.45">
      <c r="A17" s="5" t="s">
        <v>44</v>
      </c>
      <c r="B17" s="6" t="s">
        <v>45</v>
      </c>
      <c r="C17" s="5" t="s">
        <v>46</v>
      </c>
      <c r="D17" s="7" t="s">
        <v>11</v>
      </c>
      <c r="E17" s="8">
        <v>11.8</v>
      </c>
      <c r="F17" s="8">
        <v>11.8</v>
      </c>
      <c r="G17" s="8">
        <f>E17*1.4</f>
        <v>16.52</v>
      </c>
      <c r="H17" s="8">
        <f t="shared" si="0"/>
        <v>18.880000000000003</v>
      </c>
    </row>
    <row r="18" spans="1:8" s="9" customFormat="1" x14ac:dyDescent="0.45">
      <c r="A18" s="5" t="s">
        <v>47</v>
      </c>
      <c r="B18" s="6" t="s">
        <v>48</v>
      </c>
      <c r="C18" s="5" t="s">
        <v>49</v>
      </c>
      <c r="D18" s="7" t="s">
        <v>11</v>
      </c>
      <c r="E18" s="8">
        <v>7.8</v>
      </c>
      <c r="F18" s="10">
        <v>7.55</v>
      </c>
      <c r="G18" s="8">
        <v>10.199999999999999</v>
      </c>
      <c r="H18" s="8">
        <f t="shared" si="0"/>
        <v>12.08</v>
      </c>
    </row>
    <row r="19" spans="1:8" s="9" customFormat="1" x14ac:dyDescent="0.45">
      <c r="A19" s="5" t="s">
        <v>50</v>
      </c>
      <c r="B19" s="6" t="s">
        <v>51</v>
      </c>
      <c r="C19" s="5" t="s">
        <v>52</v>
      </c>
      <c r="D19" s="7" t="s">
        <v>11</v>
      </c>
      <c r="E19" s="8">
        <v>8.1</v>
      </c>
      <c r="F19" s="10">
        <v>7.4</v>
      </c>
      <c r="G19" s="8">
        <v>10.5</v>
      </c>
      <c r="H19" s="8">
        <f t="shared" si="0"/>
        <v>11.840000000000002</v>
      </c>
    </row>
    <row r="20" spans="1:8" s="9" customFormat="1" x14ac:dyDescent="0.45">
      <c r="A20" s="5" t="s">
        <v>53</v>
      </c>
      <c r="B20" s="6" t="s">
        <v>54</v>
      </c>
      <c r="C20" s="5" t="s">
        <v>52</v>
      </c>
      <c r="D20" s="7" t="s">
        <v>11</v>
      </c>
      <c r="E20" s="8">
        <v>7.12</v>
      </c>
      <c r="F20" s="10"/>
      <c r="G20" s="8">
        <f>E20*1.4</f>
        <v>9.968</v>
      </c>
      <c r="H20" s="8">
        <f>E20*1.6</f>
        <v>11.392000000000001</v>
      </c>
    </row>
    <row r="21" spans="1:8" s="9" customFormat="1" x14ac:dyDescent="0.45">
      <c r="A21" s="5" t="s">
        <v>55</v>
      </c>
      <c r="B21" s="6" t="s">
        <v>56</v>
      </c>
      <c r="C21" s="5" t="s">
        <v>57</v>
      </c>
      <c r="D21" s="7" t="s">
        <v>11</v>
      </c>
      <c r="E21" s="8">
        <v>16.95</v>
      </c>
      <c r="F21" s="8"/>
      <c r="G21" s="8">
        <f>E21*1.4</f>
        <v>23.729999999999997</v>
      </c>
      <c r="H21" s="8">
        <f>E21*1.6</f>
        <v>27.12</v>
      </c>
    </row>
    <row r="22" spans="1:8" s="9" customFormat="1" x14ac:dyDescent="0.45">
      <c r="A22" s="5" t="s">
        <v>58</v>
      </c>
      <c r="B22" s="6" t="s">
        <v>59</v>
      </c>
      <c r="C22" s="5" t="s">
        <v>57</v>
      </c>
      <c r="D22" s="7" t="s">
        <v>11</v>
      </c>
      <c r="E22" s="8"/>
      <c r="F22" s="8">
        <v>18.600000000000001</v>
      </c>
      <c r="G22" s="8">
        <f>F22*1.4</f>
        <v>26.04</v>
      </c>
      <c r="H22" s="8">
        <f>F22*1.6</f>
        <v>29.760000000000005</v>
      </c>
    </row>
    <row r="23" spans="1:8" s="9" customFormat="1" x14ac:dyDescent="0.45">
      <c r="A23" s="5" t="s">
        <v>60</v>
      </c>
      <c r="B23" s="6" t="s">
        <v>61</v>
      </c>
      <c r="C23" s="5" t="s">
        <v>62</v>
      </c>
      <c r="D23" s="7" t="s">
        <v>11</v>
      </c>
      <c r="E23" s="8">
        <v>17.899999999999999</v>
      </c>
      <c r="F23" s="10">
        <v>17.350000000000001</v>
      </c>
      <c r="G23" s="8">
        <v>23.9</v>
      </c>
      <c r="H23" s="8">
        <f>F23*1.6</f>
        <v>27.760000000000005</v>
      </c>
    </row>
    <row r="24" spans="1:8" s="9" customFormat="1" ht="14.65" thickBot="1" x14ac:dyDescent="0.5">
      <c r="A24" s="5" t="s">
        <v>63</v>
      </c>
      <c r="B24" s="6" t="s">
        <v>64</v>
      </c>
      <c r="C24" s="5" t="s">
        <v>65</v>
      </c>
      <c r="D24" s="7" t="s">
        <v>11</v>
      </c>
      <c r="E24" s="8">
        <v>10.9</v>
      </c>
      <c r="F24" s="8"/>
      <c r="G24" s="8">
        <f>E24*1.4</f>
        <v>15.26</v>
      </c>
      <c r="H24" s="8">
        <f>E24*1.6</f>
        <v>17.440000000000001</v>
      </c>
    </row>
    <row r="25" spans="1:8" s="9" customFormat="1" ht="14.65" thickBot="1" x14ac:dyDescent="0.5">
      <c r="A25" s="79" t="s">
        <v>66</v>
      </c>
      <c r="B25" s="80"/>
      <c r="C25" s="80"/>
      <c r="D25" s="80"/>
      <c r="E25" s="80"/>
      <c r="F25" s="80"/>
      <c r="G25" s="80"/>
      <c r="H25" s="81"/>
    </row>
    <row r="26" spans="1:8" s="9" customFormat="1" x14ac:dyDescent="0.45">
      <c r="A26" s="7" t="s">
        <v>67</v>
      </c>
      <c r="B26" s="18" t="s">
        <v>68</v>
      </c>
      <c r="C26" s="7" t="s">
        <v>69</v>
      </c>
      <c r="D26" s="7" t="s">
        <v>11</v>
      </c>
      <c r="E26" s="19">
        <v>24.05</v>
      </c>
      <c r="F26" s="19">
        <v>24.05</v>
      </c>
      <c r="G26" s="19">
        <f>E26*1.4</f>
        <v>33.67</v>
      </c>
      <c r="H26" s="19">
        <f>F26*1.6</f>
        <v>38.480000000000004</v>
      </c>
    </row>
    <row r="27" spans="1:8" s="9" customFormat="1" x14ac:dyDescent="0.45">
      <c r="A27" s="5" t="s">
        <v>70</v>
      </c>
      <c r="B27" s="6" t="s">
        <v>71</v>
      </c>
      <c r="C27" s="5" t="s">
        <v>72</v>
      </c>
      <c r="D27" s="5" t="s">
        <v>73</v>
      </c>
      <c r="E27" s="8">
        <v>11.95</v>
      </c>
      <c r="F27" s="16">
        <v>13.3</v>
      </c>
      <c r="G27" s="8">
        <f>E27*1.4</f>
        <v>16.729999999999997</v>
      </c>
      <c r="H27" s="19">
        <f t="shared" ref="H27:H28" si="1">F27*1.6</f>
        <v>21.28</v>
      </c>
    </row>
    <row r="28" spans="1:8" s="9" customFormat="1" x14ac:dyDescent="0.45">
      <c r="A28" s="5" t="s">
        <v>74</v>
      </c>
      <c r="B28" s="6" t="s">
        <v>75</v>
      </c>
      <c r="C28" s="5" t="s">
        <v>72</v>
      </c>
      <c r="D28" s="5" t="s">
        <v>73</v>
      </c>
      <c r="E28" s="8"/>
      <c r="F28" s="20">
        <v>13.3</v>
      </c>
      <c r="G28" s="8">
        <f>F28*1.4</f>
        <v>18.62</v>
      </c>
      <c r="H28" s="19">
        <f t="shared" si="1"/>
        <v>21.28</v>
      </c>
    </row>
    <row r="29" spans="1:8" ht="14.65" thickBot="1" x14ac:dyDescent="0.5">
      <c r="A29" s="82" t="s">
        <v>76</v>
      </c>
      <c r="B29" s="83"/>
      <c r="C29" s="83"/>
      <c r="D29" s="83"/>
      <c r="E29" s="83"/>
      <c r="F29" s="83"/>
      <c r="G29" s="83"/>
      <c r="H29" s="84"/>
    </row>
    <row r="30" spans="1:8" s="9" customFormat="1" x14ac:dyDescent="0.45">
      <c r="A30" s="5" t="s">
        <v>77</v>
      </c>
      <c r="B30" s="6" t="s">
        <v>78</v>
      </c>
      <c r="C30" s="17" t="s">
        <v>79</v>
      </c>
      <c r="D30" s="7" t="s">
        <v>11</v>
      </c>
      <c r="E30" s="8"/>
      <c r="F30" s="21">
        <v>16.43</v>
      </c>
      <c r="G30" s="8">
        <f>F30*1.4</f>
        <v>23.001999999999999</v>
      </c>
      <c r="H30" s="8">
        <f>F30*1.6</f>
        <v>26.288</v>
      </c>
    </row>
    <row r="31" spans="1:8" s="9" customFormat="1" x14ac:dyDescent="0.45">
      <c r="A31" s="5" t="s">
        <v>80</v>
      </c>
      <c r="B31" s="6" t="s">
        <v>81</v>
      </c>
      <c r="C31" s="5" t="s">
        <v>82</v>
      </c>
      <c r="D31" s="7" t="s">
        <v>11</v>
      </c>
      <c r="E31" s="8">
        <v>14.56</v>
      </c>
      <c r="F31" s="16">
        <v>14.72</v>
      </c>
      <c r="G31" s="22">
        <f>E31*1.4</f>
        <v>20.384</v>
      </c>
      <c r="H31" s="8">
        <f t="shared" ref="H31:H34" si="2">F31*1.6</f>
        <v>23.552000000000003</v>
      </c>
    </row>
    <row r="32" spans="1:8" s="9" customFormat="1" x14ac:dyDescent="0.45">
      <c r="A32" s="5" t="s">
        <v>83</v>
      </c>
      <c r="B32" s="6" t="s">
        <v>84</v>
      </c>
      <c r="C32" s="5" t="s">
        <v>82</v>
      </c>
      <c r="D32" s="7" t="s">
        <v>11</v>
      </c>
      <c r="E32" s="8"/>
      <c r="F32" s="8">
        <v>19.329999999999998</v>
      </c>
      <c r="G32" s="8">
        <f>F32*1.4</f>
        <v>27.061999999999998</v>
      </c>
      <c r="H32" s="8">
        <f t="shared" si="2"/>
        <v>30.927999999999997</v>
      </c>
    </row>
    <row r="33" spans="1:8" s="9" customFormat="1" ht="19.5" x14ac:dyDescent="0.45">
      <c r="A33" s="5" t="s">
        <v>85</v>
      </c>
      <c r="B33" s="23" t="s">
        <v>86</v>
      </c>
      <c r="C33" s="17" t="s">
        <v>87</v>
      </c>
      <c r="D33" s="7" t="s">
        <v>11</v>
      </c>
      <c r="E33" s="8"/>
      <c r="F33" s="8">
        <v>12.17</v>
      </c>
      <c r="G33" s="8">
        <f>F33*1.4</f>
        <v>17.038</v>
      </c>
      <c r="H33" s="8">
        <f t="shared" si="2"/>
        <v>19.472000000000001</v>
      </c>
    </row>
    <row r="34" spans="1:8" s="9" customFormat="1" x14ac:dyDescent="0.45">
      <c r="A34" s="5" t="s">
        <v>88</v>
      </c>
      <c r="B34" s="6" t="s">
        <v>89</v>
      </c>
      <c r="C34" s="5" t="s">
        <v>90</v>
      </c>
      <c r="D34" s="7" t="s">
        <v>11</v>
      </c>
      <c r="E34" s="8">
        <v>9.84</v>
      </c>
      <c r="F34" s="16">
        <v>10.83</v>
      </c>
      <c r="G34" s="8">
        <f>E34*1.4</f>
        <v>13.776</v>
      </c>
      <c r="H34" s="8">
        <f t="shared" si="2"/>
        <v>17.327999999999999</v>
      </c>
    </row>
    <row r="35" spans="1:8" s="9" customFormat="1" x14ac:dyDescent="0.45">
      <c r="A35" s="5"/>
      <c r="B35" s="6" t="s">
        <v>91</v>
      </c>
      <c r="C35" s="5" t="s">
        <v>92</v>
      </c>
      <c r="D35" s="7" t="s">
        <v>11</v>
      </c>
      <c r="E35" s="8"/>
      <c r="F35" s="16"/>
      <c r="G35" s="8">
        <v>11.5</v>
      </c>
      <c r="H35" s="8"/>
    </row>
    <row r="36" spans="1:8" s="9" customFormat="1" ht="14.65" customHeight="1" x14ac:dyDescent="0.45">
      <c r="A36" s="5"/>
      <c r="B36" s="6" t="s">
        <v>93</v>
      </c>
      <c r="C36" s="5" t="s">
        <v>94</v>
      </c>
      <c r="D36" s="7" t="s">
        <v>11</v>
      </c>
      <c r="E36" s="8"/>
      <c r="F36" s="16"/>
      <c r="G36" s="8">
        <v>10.5</v>
      </c>
      <c r="H36" s="8"/>
    </row>
    <row r="37" spans="1:8" s="9" customFormat="1" x14ac:dyDescent="0.45">
      <c r="A37" s="5" t="s">
        <v>95</v>
      </c>
      <c r="B37" s="6" t="s">
        <v>96</v>
      </c>
      <c r="C37" s="17" t="s">
        <v>97</v>
      </c>
      <c r="D37" s="7" t="s">
        <v>11</v>
      </c>
      <c r="E37" s="8"/>
      <c r="F37" s="8">
        <v>14.39</v>
      </c>
      <c r="G37" s="8">
        <v>17</v>
      </c>
      <c r="H37" s="8"/>
    </row>
    <row r="38" spans="1:8" s="9" customFormat="1" x14ac:dyDescent="0.45">
      <c r="A38" s="5" t="s">
        <v>98</v>
      </c>
      <c r="B38" s="6" t="s">
        <v>99</v>
      </c>
      <c r="C38" s="17" t="s">
        <v>100</v>
      </c>
      <c r="D38" s="7" t="s">
        <v>11</v>
      </c>
      <c r="E38" s="8"/>
      <c r="F38" s="8">
        <v>14.17</v>
      </c>
      <c r="G38" s="8">
        <v>15.5</v>
      </c>
      <c r="H38" s="8"/>
    </row>
    <row r="39" spans="1:8" s="9" customFormat="1" x14ac:dyDescent="0.45">
      <c r="A39" s="5" t="s">
        <v>101</v>
      </c>
      <c r="B39" s="6" t="s">
        <v>102</v>
      </c>
      <c r="C39" s="5" t="s">
        <v>82</v>
      </c>
      <c r="D39" s="7" t="s">
        <v>11</v>
      </c>
      <c r="E39" s="8">
        <v>14.57</v>
      </c>
      <c r="F39" s="16">
        <v>14.93</v>
      </c>
      <c r="G39" s="8">
        <f>E39*1.4</f>
        <v>20.398</v>
      </c>
      <c r="H39" s="8">
        <f>F39*1.6</f>
        <v>23.888000000000002</v>
      </c>
    </row>
    <row r="40" spans="1:8" s="9" customFormat="1" x14ac:dyDescent="0.45">
      <c r="A40" s="5" t="s">
        <v>103</v>
      </c>
      <c r="B40" s="6" t="s">
        <v>104</v>
      </c>
      <c r="C40" s="5" t="s">
        <v>105</v>
      </c>
      <c r="D40" s="5" t="s">
        <v>11</v>
      </c>
      <c r="E40" s="8">
        <v>6.82</v>
      </c>
      <c r="F40" s="16">
        <v>6.89</v>
      </c>
      <c r="G40" s="8">
        <f>E40*1.4</f>
        <v>9.548</v>
      </c>
      <c r="H40" s="8">
        <f t="shared" ref="H40:H42" si="3">F40*1.6</f>
        <v>11.024000000000001</v>
      </c>
    </row>
    <row r="41" spans="1:8" s="9" customFormat="1" x14ac:dyDescent="0.45">
      <c r="A41" s="5" t="s">
        <v>106</v>
      </c>
      <c r="B41" s="6" t="s">
        <v>107</v>
      </c>
      <c r="C41" s="5" t="s">
        <v>108</v>
      </c>
      <c r="D41" s="7" t="s">
        <v>11</v>
      </c>
      <c r="E41" s="8">
        <v>18.78</v>
      </c>
      <c r="F41" s="10">
        <v>17.440000000000001</v>
      </c>
      <c r="G41" s="22">
        <v>23.52</v>
      </c>
      <c r="H41" s="8">
        <f t="shared" si="3"/>
        <v>27.904000000000003</v>
      </c>
    </row>
    <row r="42" spans="1:8" s="9" customFormat="1" ht="14.65" thickBot="1" x14ac:dyDescent="0.5">
      <c r="A42" s="5" t="s">
        <v>109</v>
      </c>
      <c r="B42" s="6" t="s">
        <v>110</v>
      </c>
      <c r="C42" s="17" t="s">
        <v>111</v>
      </c>
      <c r="D42" s="7" t="s">
        <v>73</v>
      </c>
      <c r="E42" s="8"/>
      <c r="F42" s="20">
        <v>4.5</v>
      </c>
      <c r="G42" s="8">
        <f>F42*1.4</f>
        <v>6.3</v>
      </c>
      <c r="H42" s="8">
        <f t="shared" si="3"/>
        <v>7.2</v>
      </c>
    </row>
    <row r="43" spans="1:8" ht="14.65" thickBot="1" x14ac:dyDescent="0.5">
      <c r="A43" s="64" t="s">
        <v>112</v>
      </c>
      <c r="B43" s="65"/>
      <c r="C43" s="65"/>
      <c r="D43" s="65"/>
      <c r="E43" s="65"/>
      <c r="F43" s="65"/>
      <c r="G43" s="65"/>
      <c r="H43" s="66"/>
    </row>
    <row r="44" spans="1:8" s="9" customFormat="1" x14ac:dyDescent="0.45">
      <c r="A44" s="7" t="s">
        <v>113</v>
      </c>
      <c r="B44" s="18" t="s">
        <v>114</v>
      </c>
      <c r="C44" s="7" t="s">
        <v>115</v>
      </c>
      <c r="D44" s="7" t="s">
        <v>11</v>
      </c>
      <c r="E44" s="19">
        <v>13.4</v>
      </c>
      <c r="F44" s="19"/>
      <c r="G44" s="19">
        <v>14.8</v>
      </c>
      <c r="H44" s="19">
        <f>E44*1.6</f>
        <v>21.44</v>
      </c>
    </row>
    <row r="45" spans="1:8" s="9" customFormat="1" x14ac:dyDescent="0.45">
      <c r="A45" s="7" t="s">
        <v>116</v>
      </c>
      <c r="B45" s="18" t="s">
        <v>117</v>
      </c>
      <c r="C45" s="7" t="s">
        <v>118</v>
      </c>
      <c r="D45" s="7" t="s">
        <v>11</v>
      </c>
      <c r="E45" s="19">
        <v>8.65</v>
      </c>
      <c r="F45" s="24">
        <v>9.25</v>
      </c>
      <c r="G45" s="19">
        <v>13.11</v>
      </c>
      <c r="H45" s="19">
        <f>F45*1.6</f>
        <v>14.8</v>
      </c>
    </row>
    <row r="46" spans="1:8" s="9" customFormat="1" x14ac:dyDescent="0.45">
      <c r="A46" s="5" t="s">
        <v>119</v>
      </c>
      <c r="B46" s="6" t="s">
        <v>120</v>
      </c>
      <c r="C46" s="5" t="s">
        <v>115</v>
      </c>
      <c r="D46" s="7" t="s">
        <v>11</v>
      </c>
      <c r="E46" s="8">
        <v>15.3</v>
      </c>
      <c r="F46" s="8"/>
      <c r="G46" s="8">
        <f>E46*1.4</f>
        <v>21.419999999999998</v>
      </c>
      <c r="H46" s="19">
        <f>E46*1.6</f>
        <v>24.480000000000004</v>
      </c>
    </row>
    <row r="47" spans="1:8" s="9" customFormat="1" x14ac:dyDescent="0.45">
      <c r="A47" s="5" t="s">
        <v>121</v>
      </c>
      <c r="B47" s="6" t="s">
        <v>122</v>
      </c>
      <c r="C47" s="5" t="s">
        <v>27</v>
      </c>
      <c r="D47" s="7" t="s">
        <v>11</v>
      </c>
      <c r="E47" s="8">
        <v>9.9</v>
      </c>
      <c r="F47" s="8">
        <v>9.9</v>
      </c>
      <c r="G47" s="8">
        <v>11.5</v>
      </c>
      <c r="H47" s="19">
        <f>F47*1.6</f>
        <v>15.840000000000002</v>
      </c>
    </row>
    <row r="48" spans="1:8" s="9" customFormat="1" x14ac:dyDescent="0.45">
      <c r="A48" s="7" t="s">
        <v>123</v>
      </c>
      <c r="B48" s="18" t="s">
        <v>124</v>
      </c>
      <c r="C48" s="7" t="s">
        <v>125</v>
      </c>
      <c r="D48" s="7" t="s">
        <v>73</v>
      </c>
      <c r="E48" s="19">
        <v>8.0500000000000007</v>
      </c>
      <c r="F48" s="25">
        <v>7.7</v>
      </c>
      <c r="G48" s="19">
        <v>10.8</v>
      </c>
      <c r="H48" s="19">
        <f t="shared" ref="H48:H51" si="4">F48*1.6</f>
        <v>12.32</v>
      </c>
    </row>
    <row r="49" spans="1:8" s="9" customFormat="1" x14ac:dyDescent="0.45">
      <c r="A49" s="5" t="s">
        <v>126</v>
      </c>
      <c r="B49" s="6" t="s">
        <v>127</v>
      </c>
      <c r="C49" s="5" t="s">
        <v>128</v>
      </c>
      <c r="D49" s="7" t="s">
        <v>11</v>
      </c>
      <c r="E49" s="8">
        <v>20.75</v>
      </c>
      <c r="F49" s="8">
        <v>20.75</v>
      </c>
      <c r="G49" s="8">
        <v>25.05</v>
      </c>
      <c r="H49" s="19">
        <f t="shared" si="4"/>
        <v>33.200000000000003</v>
      </c>
    </row>
    <row r="50" spans="1:8" s="9" customFormat="1" ht="19.5" x14ac:dyDescent="0.45">
      <c r="A50" s="5" t="s">
        <v>129</v>
      </c>
      <c r="B50" s="23" t="s">
        <v>130</v>
      </c>
      <c r="C50" s="5" t="s">
        <v>131</v>
      </c>
      <c r="D50" s="7" t="s">
        <v>11</v>
      </c>
      <c r="E50" s="8">
        <v>10.45</v>
      </c>
      <c r="F50" s="10">
        <v>10.1</v>
      </c>
      <c r="G50" s="8">
        <f>E50*1.4</f>
        <v>14.629999999999997</v>
      </c>
      <c r="H50" s="19">
        <f t="shared" si="4"/>
        <v>16.16</v>
      </c>
    </row>
    <row r="51" spans="1:8" s="9" customFormat="1" ht="18.850000000000001" customHeight="1" x14ac:dyDescent="0.45">
      <c r="A51" s="5" t="s">
        <v>132</v>
      </c>
      <c r="B51" s="26" t="s">
        <v>133</v>
      </c>
      <c r="C51" s="5" t="s">
        <v>134</v>
      </c>
      <c r="D51" s="7" t="s">
        <v>11</v>
      </c>
      <c r="E51" s="8">
        <v>15.7</v>
      </c>
      <c r="F51" s="8">
        <v>15.7</v>
      </c>
      <c r="G51" s="8">
        <v>18.8</v>
      </c>
      <c r="H51" s="19">
        <f t="shared" si="4"/>
        <v>25.12</v>
      </c>
    </row>
    <row r="52" spans="1:8" s="9" customFormat="1" x14ac:dyDescent="0.45">
      <c r="A52" s="5"/>
      <c r="B52" s="23" t="s">
        <v>135</v>
      </c>
      <c r="C52" s="5"/>
      <c r="D52" s="7"/>
      <c r="E52" s="8"/>
      <c r="F52" s="8"/>
      <c r="G52" s="8" t="s">
        <v>136</v>
      </c>
      <c r="H52" s="19"/>
    </row>
    <row r="53" spans="1:8" s="9" customFormat="1" x14ac:dyDescent="0.45">
      <c r="A53" s="5" t="s">
        <v>137</v>
      </c>
      <c r="B53" s="6" t="s">
        <v>138</v>
      </c>
      <c r="C53" s="5" t="s">
        <v>139</v>
      </c>
      <c r="D53" s="7" t="s">
        <v>11</v>
      </c>
      <c r="E53" s="8">
        <v>15.58</v>
      </c>
      <c r="F53" s="8"/>
      <c r="G53" s="8">
        <v>16.899999999999999</v>
      </c>
      <c r="H53" s="19">
        <f>E53*1.6</f>
        <v>24.928000000000001</v>
      </c>
    </row>
    <row r="54" spans="1:8" s="9" customFormat="1" x14ac:dyDescent="0.45">
      <c r="A54" s="5" t="s">
        <v>140</v>
      </c>
      <c r="B54" s="6" t="s">
        <v>141</v>
      </c>
      <c r="C54" s="5" t="s">
        <v>142</v>
      </c>
      <c r="D54" s="7" t="s">
        <v>11</v>
      </c>
      <c r="E54" s="8">
        <v>8.9499999999999993</v>
      </c>
      <c r="F54" s="8"/>
      <c r="G54" s="8">
        <v>10.9</v>
      </c>
      <c r="H54" s="19">
        <f>E54*1.6</f>
        <v>14.32</v>
      </c>
    </row>
    <row r="55" spans="1:8" s="9" customFormat="1" ht="14.65" thickBot="1" x14ac:dyDescent="0.5">
      <c r="A55" s="5" t="s">
        <v>143</v>
      </c>
      <c r="B55" s="6" t="s">
        <v>144</v>
      </c>
      <c r="C55" s="5" t="s">
        <v>145</v>
      </c>
      <c r="D55" s="7" t="s">
        <v>11</v>
      </c>
      <c r="E55" s="8">
        <v>10.3</v>
      </c>
      <c r="F55" s="16">
        <v>10.35</v>
      </c>
      <c r="G55" s="8">
        <f>E55*1.4</f>
        <v>14.42</v>
      </c>
      <c r="H55" s="19">
        <f>F55*1.6</f>
        <v>16.559999999999999</v>
      </c>
    </row>
    <row r="56" spans="1:8" ht="14.65" thickBot="1" x14ac:dyDescent="0.5">
      <c r="A56" s="64" t="s">
        <v>146</v>
      </c>
      <c r="B56" s="65"/>
      <c r="C56" s="65"/>
      <c r="D56" s="65"/>
      <c r="E56" s="65"/>
      <c r="F56" s="65"/>
      <c r="G56" s="65"/>
      <c r="H56" s="66"/>
    </row>
    <row r="57" spans="1:8" s="9" customFormat="1" ht="19.5" x14ac:dyDescent="0.45">
      <c r="A57" s="5" t="s">
        <v>147</v>
      </c>
      <c r="B57" s="23" t="s">
        <v>148</v>
      </c>
      <c r="C57" s="5" t="s">
        <v>149</v>
      </c>
      <c r="D57" s="7" t="s">
        <v>11</v>
      </c>
      <c r="E57" s="8"/>
      <c r="F57" s="8">
        <v>6.14</v>
      </c>
      <c r="G57" s="22">
        <v>10.72</v>
      </c>
      <c r="H57" s="8">
        <f>F57*1.6</f>
        <v>9.8239999999999998</v>
      </c>
    </row>
    <row r="58" spans="1:8" s="9" customFormat="1" x14ac:dyDescent="0.45">
      <c r="A58" s="5" t="s">
        <v>150</v>
      </c>
      <c r="B58" s="6" t="s">
        <v>151</v>
      </c>
      <c r="C58" s="5" t="s">
        <v>152</v>
      </c>
      <c r="D58" s="7" t="s">
        <v>11</v>
      </c>
      <c r="E58" s="8">
        <v>10.88</v>
      </c>
      <c r="F58" s="8"/>
      <c r="G58" s="8">
        <f t="shared" ref="G58:G64" si="5">E58*1.4</f>
        <v>15.231999999999999</v>
      </c>
      <c r="H58" s="8">
        <f>E58*1.6</f>
        <v>17.408000000000001</v>
      </c>
    </row>
    <row r="59" spans="1:8" s="9" customFormat="1" x14ac:dyDescent="0.45">
      <c r="A59" s="5" t="s">
        <v>153</v>
      </c>
      <c r="B59" s="6" t="s">
        <v>154</v>
      </c>
      <c r="C59" s="5" t="s">
        <v>152</v>
      </c>
      <c r="D59" s="7" t="s">
        <v>73</v>
      </c>
      <c r="E59" s="8">
        <v>3.95</v>
      </c>
      <c r="F59" s="8"/>
      <c r="G59" s="8">
        <f t="shared" si="5"/>
        <v>5.53</v>
      </c>
      <c r="H59" s="8">
        <f t="shared" ref="H59:H61" si="6">E59*1.6</f>
        <v>6.32</v>
      </c>
    </row>
    <row r="60" spans="1:8" s="9" customFormat="1" x14ac:dyDescent="0.45">
      <c r="A60" s="5" t="s">
        <v>155</v>
      </c>
      <c r="B60" s="6" t="s">
        <v>156</v>
      </c>
      <c r="C60" s="5" t="s">
        <v>157</v>
      </c>
      <c r="D60" s="7" t="s">
        <v>11</v>
      </c>
      <c r="E60" s="8">
        <v>10.7</v>
      </c>
      <c r="F60" s="8"/>
      <c r="G60" s="8">
        <f t="shared" si="5"/>
        <v>14.979999999999999</v>
      </c>
      <c r="H60" s="8">
        <f t="shared" si="6"/>
        <v>17.12</v>
      </c>
    </row>
    <row r="61" spans="1:8" s="9" customFormat="1" x14ac:dyDescent="0.45">
      <c r="A61" s="5" t="s">
        <v>158</v>
      </c>
      <c r="B61" s="6" t="s">
        <v>159</v>
      </c>
      <c r="C61" s="5" t="s">
        <v>160</v>
      </c>
      <c r="D61" s="7" t="s">
        <v>11</v>
      </c>
      <c r="E61" s="8">
        <v>11.84</v>
      </c>
      <c r="F61" s="8"/>
      <c r="G61" s="8">
        <f t="shared" si="5"/>
        <v>16.576000000000001</v>
      </c>
      <c r="H61" s="8">
        <f t="shared" si="6"/>
        <v>18.943999999999999</v>
      </c>
    </row>
    <row r="62" spans="1:8" x14ac:dyDescent="0.45">
      <c r="A62" s="27" t="s">
        <v>161</v>
      </c>
      <c r="B62" s="28" t="s">
        <v>162</v>
      </c>
      <c r="C62" s="27" t="s">
        <v>163</v>
      </c>
      <c r="D62" s="17" t="s">
        <v>73</v>
      </c>
      <c r="E62" s="29"/>
      <c r="F62" s="29">
        <v>16.84</v>
      </c>
      <c r="G62" s="29">
        <f>F62*1.4</f>
        <v>23.575999999999997</v>
      </c>
      <c r="H62" s="8">
        <f>F62*1.6</f>
        <v>26.944000000000003</v>
      </c>
    </row>
    <row r="63" spans="1:8" x14ac:dyDescent="0.45">
      <c r="A63" s="17" t="s">
        <v>164</v>
      </c>
      <c r="B63" s="28" t="s">
        <v>165</v>
      </c>
      <c r="C63" s="17" t="s">
        <v>166</v>
      </c>
      <c r="D63" s="17" t="s">
        <v>11</v>
      </c>
      <c r="E63" s="15"/>
      <c r="F63" s="21">
        <v>16.64</v>
      </c>
      <c r="G63" s="15">
        <f>F63*1.4</f>
        <v>23.295999999999999</v>
      </c>
      <c r="H63" s="8">
        <f t="shared" ref="H63:H67" si="7">F63*1.6</f>
        <v>26.624000000000002</v>
      </c>
    </row>
    <row r="64" spans="1:8" s="9" customFormat="1" x14ac:dyDescent="0.45">
      <c r="A64" s="5" t="s">
        <v>167</v>
      </c>
      <c r="B64" s="6" t="s">
        <v>168</v>
      </c>
      <c r="C64" s="5" t="s">
        <v>169</v>
      </c>
      <c r="D64" s="5" t="s">
        <v>11</v>
      </c>
      <c r="E64" s="8">
        <v>12.06</v>
      </c>
      <c r="F64" s="16">
        <v>15.57</v>
      </c>
      <c r="G64" s="8">
        <f t="shared" si="5"/>
        <v>16.884</v>
      </c>
      <c r="H64" s="8">
        <f t="shared" si="7"/>
        <v>24.912000000000003</v>
      </c>
    </row>
    <row r="65" spans="1:8" s="9" customFormat="1" x14ac:dyDescent="0.45">
      <c r="A65" s="5" t="s">
        <v>170</v>
      </c>
      <c r="B65" s="6" t="s">
        <v>171</v>
      </c>
      <c r="C65" s="5" t="s">
        <v>172</v>
      </c>
      <c r="D65" s="5" t="s">
        <v>11</v>
      </c>
      <c r="E65" s="8"/>
      <c r="F65" s="8">
        <v>15.57</v>
      </c>
      <c r="G65" s="8">
        <v>16.88</v>
      </c>
      <c r="H65" s="8">
        <f t="shared" si="7"/>
        <v>24.912000000000003</v>
      </c>
    </row>
    <row r="66" spans="1:8" s="9" customFormat="1" x14ac:dyDescent="0.45">
      <c r="A66" s="5" t="s">
        <v>173</v>
      </c>
      <c r="B66" s="6" t="s">
        <v>174</v>
      </c>
      <c r="C66" s="5" t="s">
        <v>175</v>
      </c>
      <c r="D66" s="5" t="s">
        <v>11</v>
      </c>
      <c r="E66" s="8"/>
      <c r="F66" s="8">
        <v>9.3000000000000007</v>
      </c>
      <c r="G66" s="8">
        <f>F66*1.4</f>
        <v>13.02</v>
      </c>
      <c r="H66" s="8">
        <f t="shared" si="7"/>
        <v>14.880000000000003</v>
      </c>
    </row>
    <row r="67" spans="1:8" s="9" customFormat="1" ht="19.899999999999999" thickBot="1" x14ac:dyDescent="0.5">
      <c r="A67" s="5" t="s">
        <v>176</v>
      </c>
      <c r="B67" s="23" t="s">
        <v>177</v>
      </c>
      <c r="C67" s="17" t="s">
        <v>178</v>
      </c>
      <c r="D67" s="5" t="s">
        <v>73</v>
      </c>
      <c r="E67" s="8"/>
      <c r="F67" s="8">
        <v>3.05</v>
      </c>
      <c r="G67" s="8">
        <f>F67*1.4</f>
        <v>4.2699999999999996</v>
      </c>
      <c r="H67" s="8">
        <f t="shared" si="7"/>
        <v>4.88</v>
      </c>
    </row>
    <row r="68" spans="1:8" s="9" customFormat="1" ht="14.65" thickBot="1" x14ac:dyDescent="0.5">
      <c r="A68" s="64" t="s">
        <v>179</v>
      </c>
      <c r="B68" s="65"/>
      <c r="C68" s="65"/>
      <c r="D68" s="65"/>
      <c r="E68" s="65"/>
      <c r="F68" s="65"/>
      <c r="G68" s="65"/>
      <c r="H68" s="66"/>
    </row>
    <row r="69" spans="1:8" s="9" customFormat="1" x14ac:dyDescent="0.45">
      <c r="A69" s="11" t="s">
        <v>180</v>
      </c>
      <c r="B69" s="12" t="s">
        <v>181</v>
      </c>
      <c r="C69" s="5" t="s">
        <v>182</v>
      </c>
      <c r="D69" s="5" t="s">
        <v>11</v>
      </c>
      <c r="E69" s="14">
        <v>154.85</v>
      </c>
      <c r="F69" s="14">
        <v>154.85</v>
      </c>
      <c r="G69" s="14">
        <v>188</v>
      </c>
      <c r="H69" s="14">
        <f>F69*1.6</f>
        <v>247.76</v>
      </c>
    </row>
    <row r="70" spans="1:8" s="9" customFormat="1" x14ac:dyDescent="0.45">
      <c r="A70" s="11" t="s">
        <v>183</v>
      </c>
      <c r="B70" s="12" t="s">
        <v>184</v>
      </c>
      <c r="C70" s="11" t="s">
        <v>185</v>
      </c>
      <c r="D70" s="11" t="s">
        <v>11</v>
      </c>
      <c r="E70" s="14">
        <v>13.25</v>
      </c>
      <c r="F70" s="30">
        <v>11.9</v>
      </c>
      <c r="G70" s="14">
        <f>E70*1.4</f>
        <v>18.549999999999997</v>
      </c>
      <c r="H70" s="14">
        <f>F70*1.6</f>
        <v>19.040000000000003</v>
      </c>
    </row>
    <row r="71" spans="1:8" s="9" customFormat="1" ht="14.65" thickBot="1" x14ac:dyDescent="0.5">
      <c r="A71" s="11" t="s">
        <v>186</v>
      </c>
      <c r="B71" s="12" t="s">
        <v>187</v>
      </c>
      <c r="C71" s="11" t="s">
        <v>188</v>
      </c>
      <c r="D71" s="11" t="s">
        <v>11</v>
      </c>
      <c r="E71" s="14">
        <v>14.05</v>
      </c>
      <c r="F71" s="14"/>
      <c r="G71" s="14">
        <f>E71*1.4</f>
        <v>19.669999999999998</v>
      </c>
      <c r="H71" s="14">
        <f>E71*1.6</f>
        <v>22.480000000000004</v>
      </c>
    </row>
    <row r="72" spans="1:8" ht="14.65" thickBot="1" x14ac:dyDescent="0.5">
      <c r="A72" s="67" t="s">
        <v>189</v>
      </c>
      <c r="B72" s="68"/>
      <c r="C72" s="68"/>
      <c r="D72" s="68"/>
      <c r="E72" s="68"/>
      <c r="F72" s="68"/>
      <c r="G72" s="68"/>
      <c r="H72" s="69"/>
    </row>
    <row r="73" spans="1:8" s="9" customFormat="1" x14ac:dyDescent="0.45">
      <c r="A73" s="5" t="s">
        <v>190</v>
      </c>
      <c r="B73" s="6" t="s">
        <v>191</v>
      </c>
      <c r="C73" s="5" t="s">
        <v>192</v>
      </c>
      <c r="D73" s="7" t="s">
        <v>11</v>
      </c>
      <c r="E73" s="8">
        <v>1.23</v>
      </c>
      <c r="F73" s="8">
        <v>1.23</v>
      </c>
      <c r="G73" s="8">
        <v>1.6</v>
      </c>
      <c r="H73" s="8">
        <f t="shared" ref="H73:H89" si="8">E73*1.6</f>
        <v>1.968</v>
      </c>
    </row>
    <row r="74" spans="1:8" s="9" customFormat="1" x14ac:dyDescent="0.45">
      <c r="A74" s="5" t="s">
        <v>193</v>
      </c>
      <c r="B74" s="6" t="s">
        <v>194</v>
      </c>
      <c r="C74" s="5" t="s">
        <v>192</v>
      </c>
      <c r="D74" s="7" t="s">
        <v>11</v>
      </c>
      <c r="E74" s="8">
        <v>1.53</v>
      </c>
      <c r="F74" s="8"/>
      <c r="G74" s="8">
        <f>E74*1.4</f>
        <v>2.1419999999999999</v>
      </c>
      <c r="H74" s="8">
        <f t="shared" si="8"/>
        <v>2.4480000000000004</v>
      </c>
    </row>
    <row r="75" spans="1:8" s="9" customFormat="1" x14ac:dyDescent="0.45">
      <c r="A75" s="5" t="s">
        <v>195</v>
      </c>
      <c r="B75" s="6" t="s">
        <v>196</v>
      </c>
      <c r="C75" s="5" t="s">
        <v>197</v>
      </c>
      <c r="D75" s="7" t="s">
        <v>11</v>
      </c>
      <c r="E75" s="8">
        <v>1.67</v>
      </c>
      <c r="F75" s="8"/>
      <c r="G75" s="8">
        <f>E75*1.4</f>
        <v>2.3379999999999996</v>
      </c>
      <c r="H75" s="8">
        <f t="shared" si="8"/>
        <v>2.6720000000000002</v>
      </c>
    </row>
    <row r="76" spans="1:8" s="9" customFormat="1" x14ac:dyDescent="0.45">
      <c r="A76" s="5"/>
      <c r="B76" s="6" t="s">
        <v>198</v>
      </c>
      <c r="C76" s="5" t="s">
        <v>199</v>
      </c>
      <c r="D76" s="7" t="s">
        <v>11</v>
      </c>
      <c r="E76" s="8">
        <v>0.873</v>
      </c>
      <c r="F76" s="8"/>
      <c r="G76" s="8" t="s">
        <v>136</v>
      </c>
      <c r="H76" s="8">
        <f t="shared" si="8"/>
        <v>1.3968</v>
      </c>
    </row>
    <row r="77" spans="1:8" s="9" customFormat="1" x14ac:dyDescent="0.45">
      <c r="A77" s="5"/>
      <c r="B77" s="6" t="s">
        <v>200</v>
      </c>
      <c r="C77" s="5" t="s">
        <v>192</v>
      </c>
      <c r="D77" s="7" t="s">
        <v>11</v>
      </c>
      <c r="E77" s="8"/>
      <c r="F77" s="8"/>
      <c r="G77" s="8" t="s">
        <v>136</v>
      </c>
      <c r="H77" s="8"/>
    </row>
    <row r="78" spans="1:8" s="9" customFormat="1" x14ac:dyDescent="0.45">
      <c r="A78" s="5"/>
      <c r="B78" s="6" t="s">
        <v>201</v>
      </c>
      <c r="C78" s="5" t="s">
        <v>199</v>
      </c>
      <c r="D78" s="7" t="s">
        <v>11</v>
      </c>
      <c r="E78" s="8">
        <v>0.90100000000000002</v>
      </c>
      <c r="F78" s="8"/>
      <c r="G78" s="8" t="s">
        <v>136</v>
      </c>
      <c r="H78" s="8">
        <f t="shared" si="8"/>
        <v>1.4416000000000002</v>
      </c>
    </row>
    <row r="79" spans="1:8" s="9" customFormat="1" x14ac:dyDescent="0.45">
      <c r="A79" s="5"/>
      <c r="B79" s="6" t="s">
        <v>202</v>
      </c>
      <c r="C79" s="5" t="s">
        <v>199</v>
      </c>
      <c r="D79" s="7" t="s">
        <v>11</v>
      </c>
      <c r="E79" s="8">
        <v>0.89100000000000001</v>
      </c>
      <c r="F79" s="8"/>
      <c r="G79" s="8" t="s">
        <v>136</v>
      </c>
      <c r="H79" s="8">
        <f t="shared" si="8"/>
        <v>1.4256000000000002</v>
      </c>
    </row>
    <row r="80" spans="1:8" s="9" customFormat="1" x14ac:dyDescent="0.45">
      <c r="A80" s="5"/>
      <c r="B80" s="6" t="s">
        <v>203</v>
      </c>
      <c r="C80" s="5" t="s">
        <v>192</v>
      </c>
      <c r="D80" s="7" t="s">
        <v>11</v>
      </c>
      <c r="E80" s="8"/>
      <c r="F80" s="8"/>
      <c r="G80" s="8" t="s">
        <v>136</v>
      </c>
      <c r="H80" s="8"/>
    </row>
    <row r="81" spans="1:8" s="9" customFormat="1" x14ac:dyDescent="0.45">
      <c r="A81" s="5"/>
      <c r="B81" s="6" t="s">
        <v>204</v>
      </c>
      <c r="C81" s="5" t="s">
        <v>199</v>
      </c>
      <c r="D81" s="7" t="s">
        <v>11</v>
      </c>
      <c r="E81" s="8">
        <v>0.75600000000000001</v>
      </c>
      <c r="F81" s="8"/>
      <c r="G81" s="8" t="s">
        <v>136</v>
      </c>
      <c r="H81" s="8">
        <f t="shared" si="8"/>
        <v>1.2096</v>
      </c>
    </row>
    <row r="82" spans="1:8" s="9" customFormat="1" x14ac:dyDescent="0.45">
      <c r="A82" s="5"/>
      <c r="B82" s="6" t="s">
        <v>205</v>
      </c>
      <c r="C82" s="5" t="s">
        <v>199</v>
      </c>
      <c r="D82" s="7" t="s">
        <v>11</v>
      </c>
      <c r="E82" s="8">
        <v>1.21</v>
      </c>
      <c r="F82" s="8"/>
      <c r="G82" s="8" t="s">
        <v>136</v>
      </c>
      <c r="H82" s="8">
        <f t="shared" si="8"/>
        <v>1.9359999999999999</v>
      </c>
    </row>
    <row r="83" spans="1:8" s="9" customFormat="1" x14ac:dyDescent="0.45">
      <c r="A83" s="5" t="s">
        <v>206</v>
      </c>
      <c r="B83" s="6" t="s">
        <v>207</v>
      </c>
      <c r="C83" s="5" t="s">
        <v>208</v>
      </c>
      <c r="D83" s="7" t="s">
        <v>11</v>
      </c>
      <c r="E83" s="8">
        <v>7.98</v>
      </c>
      <c r="F83" s="8"/>
      <c r="G83" s="8">
        <f>E83*1.4</f>
        <v>11.172000000000001</v>
      </c>
      <c r="H83" s="8">
        <f t="shared" si="8"/>
        <v>12.768000000000001</v>
      </c>
    </row>
    <row r="84" spans="1:8" s="9" customFormat="1" x14ac:dyDescent="0.45">
      <c r="A84" s="5" t="s">
        <v>209</v>
      </c>
      <c r="B84" s="6" t="s">
        <v>210</v>
      </c>
      <c r="C84" s="5" t="s">
        <v>211</v>
      </c>
      <c r="D84" s="7" t="s">
        <v>73</v>
      </c>
      <c r="E84" s="8">
        <v>22.47</v>
      </c>
      <c r="F84" s="8"/>
      <c r="G84" s="8">
        <v>31.5</v>
      </c>
      <c r="H84" s="8">
        <f t="shared" si="8"/>
        <v>35.951999999999998</v>
      </c>
    </row>
    <row r="85" spans="1:8" s="9" customFormat="1" x14ac:dyDescent="0.45">
      <c r="A85" s="5" t="s">
        <v>212</v>
      </c>
      <c r="B85" s="6" t="s">
        <v>213</v>
      </c>
      <c r="C85" s="5" t="s">
        <v>214</v>
      </c>
      <c r="D85" s="7" t="s">
        <v>73</v>
      </c>
      <c r="E85" s="8">
        <v>6.45</v>
      </c>
      <c r="F85" s="8"/>
      <c r="G85" s="8">
        <f>E85*1.4</f>
        <v>9.0299999999999994</v>
      </c>
      <c r="H85" s="8">
        <f t="shared" si="8"/>
        <v>10.32</v>
      </c>
    </row>
    <row r="86" spans="1:8" s="9" customFormat="1" x14ac:dyDescent="0.45">
      <c r="A86" s="5"/>
      <c r="B86" s="6" t="s">
        <v>215</v>
      </c>
      <c r="C86" s="5" t="s">
        <v>216</v>
      </c>
      <c r="D86" s="7" t="s">
        <v>73</v>
      </c>
      <c r="E86" s="8">
        <v>4.9333</v>
      </c>
      <c r="F86" s="8"/>
      <c r="G86" s="8" t="s">
        <v>136</v>
      </c>
      <c r="H86" s="8">
        <f t="shared" si="8"/>
        <v>7.8932800000000007</v>
      </c>
    </row>
    <row r="87" spans="1:8" s="9" customFormat="1" x14ac:dyDescent="0.45">
      <c r="A87" s="5" t="s">
        <v>217</v>
      </c>
      <c r="B87" s="6" t="s">
        <v>218</v>
      </c>
      <c r="C87" s="5" t="s">
        <v>219</v>
      </c>
      <c r="D87" s="7" t="s">
        <v>73</v>
      </c>
      <c r="E87" s="8">
        <v>7.6</v>
      </c>
      <c r="F87" s="8">
        <v>7.6</v>
      </c>
      <c r="G87" s="8">
        <f>E87*1.4</f>
        <v>10.639999999999999</v>
      </c>
      <c r="H87" s="8">
        <f t="shared" si="8"/>
        <v>12.16</v>
      </c>
    </row>
    <row r="88" spans="1:8" s="9" customFormat="1" x14ac:dyDescent="0.45">
      <c r="A88" s="5"/>
      <c r="B88" s="6" t="s">
        <v>220</v>
      </c>
      <c r="C88" s="5" t="s">
        <v>219</v>
      </c>
      <c r="D88" s="7" t="s">
        <v>73</v>
      </c>
      <c r="E88" s="8">
        <v>2.6333000000000002</v>
      </c>
      <c r="F88" s="8"/>
      <c r="G88" s="8" t="s">
        <v>136</v>
      </c>
      <c r="H88" s="8">
        <f t="shared" si="8"/>
        <v>4.2132800000000001</v>
      </c>
    </row>
    <row r="89" spans="1:8" s="9" customFormat="1" ht="14.65" thickBot="1" x14ac:dyDescent="0.5">
      <c r="A89" s="5"/>
      <c r="B89" s="6" t="s">
        <v>221</v>
      </c>
      <c r="C89" s="5" t="s">
        <v>219</v>
      </c>
      <c r="D89" s="7" t="s">
        <v>73</v>
      </c>
      <c r="E89" s="8">
        <v>6.1660000000000004</v>
      </c>
      <c r="F89" s="8"/>
      <c r="G89" s="8" t="s">
        <v>136</v>
      </c>
      <c r="H89" s="8">
        <f t="shared" si="8"/>
        <v>9.8656000000000006</v>
      </c>
    </row>
    <row r="90" spans="1:8" ht="14.65" thickBot="1" x14ac:dyDescent="0.5">
      <c r="A90" s="70" t="s">
        <v>222</v>
      </c>
      <c r="B90" s="71"/>
      <c r="C90" s="71"/>
      <c r="D90" s="71"/>
      <c r="E90" s="71"/>
      <c r="F90" s="71"/>
      <c r="G90" s="71"/>
      <c r="H90" s="72"/>
    </row>
    <row r="91" spans="1:8" s="9" customFormat="1" ht="34.5" customHeight="1" x14ac:dyDescent="0.45">
      <c r="A91" s="7" t="s">
        <v>223</v>
      </c>
      <c r="B91" s="31" t="s">
        <v>224</v>
      </c>
      <c r="C91" s="7" t="s">
        <v>225</v>
      </c>
      <c r="D91" s="7" t="s">
        <v>73</v>
      </c>
      <c r="E91" s="19">
        <v>29.5</v>
      </c>
      <c r="F91" s="19"/>
      <c r="G91" s="19">
        <v>47.5</v>
      </c>
      <c r="H91" s="19">
        <f>E91*1.6</f>
        <v>47.2</v>
      </c>
    </row>
    <row r="92" spans="1:8" s="9" customFormat="1" x14ac:dyDescent="0.45">
      <c r="A92" s="5" t="s">
        <v>226</v>
      </c>
      <c r="B92" s="6" t="s">
        <v>227</v>
      </c>
      <c r="C92" s="5" t="s">
        <v>228</v>
      </c>
      <c r="D92" s="7" t="s">
        <v>73</v>
      </c>
      <c r="E92" s="8">
        <v>15.7</v>
      </c>
      <c r="F92" s="19"/>
      <c r="G92" s="19">
        <f>E92*1.4</f>
        <v>21.979999999999997</v>
      </c>
      <c r="H92" s="8">
        <f>E92*1.6</f>
        <v>25.12</v>
      </c>
    </row>
    <row r="93" spans="1:8" s="9" customFormat="1" x14ac:dyDescent="0.45">
      <c r="A93" s="5" t="s">
        <v>229</v>
      </c>
      <c r="B93" s="6" t="s">
        <v>230</v>
      </c>
      <c r="C93" s="5" t="s">
        <v>231</v>
      </c>
      <c r="D93" s="7" t="s">
        <v>73</v>
      </c>
      <c r="E93" s="8">
        <v>10.25</v>
      </c>
      <c r="F93" s="8">
        <v>10.25</v>
      </c>
      <c r="G93" s="8">
        <f>E93*1.4</f>
        <v>14.35</v>
      </c>
      <c r="H93" s="8">
        <f t="shared" ref="H93:H114" si="9">E93*1.6</f>
        <v>16.400000000000002</v>
      </c>
    </row>
    <row r="94" spans="1:8" s="9" customFormat="1" x14ac:dyDescent="0.45">
      <c r="A94" s="5" t="s">
        <v>232</v>
      </c>
      <c r="B94" s="6" t="s">
        <v>233</v>
      </c>
      <c r="C94" s="5" t="s">
        <v>125</v>
      </c>
      <c r="D94" s="7" t="s">
        <v>73</v>
      </c>
      <c r="E94" s="8">
        <v>9.0500000000000007</v>
      </c>
      <c r="F94" s="8">
        <v>9.0500000000000007</v>
      </c>
      <c r="G94" s="8">
        <f>E94*1.4</f>
        <v>12.67</v>
      </c>
      <c r="H94" s="8">
        <f t="shared" si="9"/>
        <v>14.480000000000002</v>
      </c>
    </row>
    <row r="95" spans="1:8" s="9" customFormat="1" x14ac:dyDescent="0.45">
      <c r="A95" s="5" t="s">
        <v>234</v>
      </c>
      <c r="B95" s="6" t="s">
        <v>235</v>
      </c>
      <c r="C95" s="5" t="s">
        <v>236</v>
      </c>
      <c r="D95" s="7" t="s">
        <v>73</v>
      </c>
      <c r="E95" s="8">
        <v>15.4</v>
      </c>
      <c r="F95" s="8"/>
      <c r="G95" s="8">
        <f t="shared" ref="G95:G114" si="10">E95*1.4</f>
        <v>21.56</v>
      </c>
      <c r="H95" s="8">
        <f t="shared" si="9"/>
        <v>24.64</v>
      </c>
    </row>
    <row r="96" spans="1:8" s="9" customFormat="1" x14ac:dyDescent="0.45">
      <c r="A96" s="5" t="s">
        <v>237</v>
      </c>
      <c r="B96" s="6" t="s">
        <v>238</v>
      </c>
      <c r="C96" s="17" t="s">
        <v>239</v>
      </c>
      <c r="D96" s="7" t="s">
        <v>73</v>
      </c>
      <c r="E96" s="8"/>
      <c r="F96" s="8">
        <v>10.58</v>
      </c>
      <c r="G96" s="8">
        <f>F96*1.4</f>
        <v>14.811999999999999</v>
      </c>
      <c r="H96" s="8"/>
    </row>
    <row r="97" spans="1:8" s="9" customFormat="1" x14ac:dyDescent="0.45">
      <c r="A97" s="5" t="s">
        <v>240</v>
      </c>
      <c r="B97" s="6" t="s">
        <v>241</v>
      </c>
      <c r="C97" s="5" t="s">
        <v>242</v>
      </c>
      <c r="D97" s="7" t="s">
        <v>73</v>
      </c>
      <c r="E97" s="8">
        <v>6.5</v>
      </c>
      <c r="F97" s="8">
        <v>6.5</v>
      </c>
      <c r="G97" s="8">
        <f>E97*1.4</f>
        <v>9.1</v>
      </c>
      <c r="H97" s="8">
        <f>E97*1.6</f>
        <v>10.4</v>
      </c>
    </row>
    <row r="98" spans="1:8" s="9" customFormat="1" x14ac:dyDescent="0.45">
      <c r="A98" s="5" t="s">
        <v>243</v>
      </c>
      <c r="B98" s="6" t="s">
        <v>244</v>
      </c>
      <c r="C98" s="5" t="s">
        <v>245</v>
      </c>
      <c r="D98" s="7" t="s">
        <v>73</v>
      </c>
      <c r="E98" s="8">
        <v>6.6</v>
      </c>
      <c r="F98" s="10">
        <v>6.24</v>
      </c>
      <c r="G98" s="8">
        <f t="shared" si="10"/>
        <v>9.2399999999999984</v>
      </c>
      <c r="H98" s="8">
        <f t="shared" si="9"/>
        <v>10.56</v>
      </c>
    </row>
    <row r="99" spans="1:8" s="9" customFormat="1" x14ac:dyDescent="0.45">
      <c r="A99" s="5" t="s">
        <v>246</v>
      </c>
      <c r="B99" s="6" t="s">
        <v>247</v>
      </c>
      <c r="C99" s="5" t="s">
        <v>248</v>
      </c>
      <c r="D99" s="7" t="s">
        <v>73</v>
      </c>
      <c r="E99" s="8"/>
      <c r="F99" s="8"/>
      <c r="G99" s="8"/>
      <c r="H99" s="8"/>
    </row>
    <row r="100" spans="1:8" s="9" customFormat="1" x14ac:dyDescent="0.45">
      <c r="A100" s="5" t="s">
        <v>249</v>
      </c>
      <c r="B100" s="6" t="s">
        <v>250</v>
      </c>
      <c r="C100" s="5" t="s">
        <v>251</v>
      </c>
      <c r="D100" s="7" t="s">
        <v>73</v>
      </c>
      <c r="E100" s="8"/>
      <c r="F100" s="8">
        <v>7.13</v>
      </c>
      <c r="G100" s="8">
        <f>F100*1.4</f>
        <v>9.9819999999999993</v>
      </c>
      <c r="H100" s="8">
        <f>F100*1.6</f>
        <v>11.408000000000001</v>
      </c>
    </row>
    <row r="101" spans="1:8" s="9" customFormat="1" x14ac:dyDescent="0.45">
      <c r="A101" s="5" t="s">
        <v>252</v>
      </c>
      <c r="B101" s="6" t="s">
        <v>253</v>
      </c>
      <c r="C101" s="5" t="s">
        <v>254</v>
      </c>
      <c r="D101" s="7" t="s">
        <v>73</v>
      </c>
      <c r="E101" s="8">
        <v>2.9</v>
      </c>
      <c r="F101" s="8"/>
      <c r="G101" s="8">
        <f t="shared" si="10"/>
        <v>4.0599999999999996</v>
      </c>
      <c r="H101" s="8">
        <f>E101*1.6</f>
        <v>4.6399999999999997</v>
      </c>
    </row>
    <row r="102" spans="1:8" s="9" customFormat="1" x14ac:dyDescent="0.45">
      <c r="A102" s="7" t="s">
        <v>255</v>
      </c>
      <c r="B102" s="18" t="s">
        <v>256</v>
      </c>
      <c r="C102" s="32" t="s">
        <v>257</v>
      </c>
      <c r="D102" s="7" t="s">
        <v>258</v>
      </c>
      <c r="E102" s="19"/>
      <c r="F102" s="19">
        <v>3.95</v>
      </c>
      <c r="G102" s="19">
        <f>F102*1.4</f>
        <v>5.53</v>
      </c>
      <c r="H102" s="19"/>
    </row>
    <row r="103" spans="1:8" s="9" customFormat="1" x14ac:dyDescent="0.45">
      <c r="A103" s="7" t="s">
        <v>259</v>
      </c>
      <c r="B103" s="18" t="s">
        <v>260</v>
      </c>
      <c r="C103" s="32" t="s">
        <v>261</v>
      </c>
      <c r="D103" s="7" t="s">
        <v>11</v>
      </c>
      <c r="E103" s="19"/>
      <c r="F103" s="19">
        <v>5.8</v>
      </c>
      <c r="G103" s="19">
        <f t="shared" ref="G103:G104" si="11">F103*1.4</f>
        <v>8.1199999999999992</v>
      </c>
      <c r="H103" s="19"/>
    </row>
    <row r="104" spans="1:8" s="9" customFormat="1" x14ac:dyDescent="0.45">
      <c r="A104" s="7" t="s">
        <v>262</v>
      </c>
      <c r="B104" s="18" t="s">
        <v>263</v>
      </c>
      <c r="C104" s="32" t="s">
        <v>264</v>
      </c>
      <c r="D104" s="7" t="s">
        <v>11</v>
      </c>
      <c r="E104" s="19"/>
      <c r="F104" s="19">
        <v>2.14</v>
      </c>
      <c r="G104" s="19">
        <f t="shared" si="11"/>
        <v>2.996</v>
      </c>
      <c r="H104" s="19"/>
    </row>
    <row r="105" spans="1:8" s="9" customFormat="1" x14ac:dyDescent="0.45">
      <c r="A105" s="7" t="s">
        <v>265</v>
      </c>
      <c r="B105" s="18" t="s">
        <v>266</v>
      </c>
      <c r="C105" s="7" t="s">
        <v>267</v>
      </c>
      <c r="D105" s="7" t="s">
        <v>73</v>
      </c>
      <c r="E105" s="19">
        <v>21.45</v>
      </c>
      <c r="F105" s="19">
        <v>23.1</v>
      </c>
      <c r="G105" s="19">
        <f>F105*1.4</f>
        <v>32.340000000000003</v>
      </c>
      <c r="H105" s="19">
        <f>E105*1.6</f>
        <v>34.32</v>
      </c>
    </row>
    <row r="106" spans="1:8" s="9" customFormat="1" ht="19.5" x14ac:dyDescent="0.45">
      <c r="A106" s="7" t="s">
        <v>268</v>
      </c>
      <c r="B106" s="33" t="s">
        <v>269</v>
      </c>
      <c r="C106" s="7" t="s">
        <v>270</v>
      </c>
      <c r="D106" s="7" t="s">
        <v>271</v>
      </c>
      <c r="E106" s="19"/>
      <c r="F106" s="19">
        <v>21.64</v>
      </c>
      <c r="G106" s="19">
        <f>F106*1.4</f>
        <v>30.295999999999999</v>
      </c>
      <c r="H106" s="19"/>
    </row>
    <row r="107" spans="1:8" s="9" customFormat="1" ht="19.5" x14ac:dyDescent="0.45">
      <c r="A107" s="7" t="s">
        <v>272</v>
      </c>
      <c r="B107" s="33" t="s">
        <v>273</v>
      </c>
      <c r="C107" s="32" t="s">
        <v>274</v>
      </c>
      <c r="D107" s="7" t="s">
        <v>73</v>
      </c>
      <c r="E107" s="19"/>
      <c r="F107" s="19">
        <v>1.8</v>
      </c>
      <c r="G107" s="19">
        <f>F107*1.4</f>
        <v>2.52</v>
      </c>
      <c r="H107" s="19"/>
    </row>
    <row r="108" spans="1:8" s="9" customFormat="1" x14ac:dyDescent="0.45">
      <c r="A108" s="7" t="s">
        <v>275</v>
      </c>
      <c r="B108" s="33" t="s">
        <v>276</v>
      </c>
      <c r="C108" s="32" t="s">
        <v>277</v>
      </c>
      <c r="D108" s="7" t="s">
        <v>278</v>
      </c>
      <c r="E108" s="19"/>
      <c r="F108" s="19">
        <v>18.57</v>
      </c>
      <c r="G108" s="19">
        <f t="shared" ref="G108:G112" si="12">F108*1.4</f>
        <v>25.997999999999998</v>
      </c>
      <c r="H108" s="19"/>
    </row>
    <row r="109" spans="1:8" s="9" customFormat="1" ht="19.5" x14ac:dyDescent="0.45">
      <c r="A109" s="7" t="s">
        <v>279</v>
      </c>
      <c r="B109" s="33" t="s">
        <v>280</v>
      </c>
      <c r="C109" s="32" t="s">
        <v>281</v>
      </c>
      <c r="D109" s="7" t="s">
        <v>278</v>
      </c>
      <c r="E109" s="19"/>
      <c r="F109" s="19">
        <v>27.56</v>
      </c>
      <c r="G109" s="19">
        <f>F109*1.4</f>
        <v>38.583999999999996</v>
      </c>
      <c r="H109" s="19"/>
    </row>
    <row r="110" spans="1:8" s="9" customFormat="1" ht="19.5" x14ac:dyDescent="0.45">
      <c r="A110" s="7" t="s">
        <v>282</v>
      </c>
      <c r="B110" s="33" t="s">
        <v>283</v>
      </c>
      <c r="C110" s="32" t="s">
        <v>281</v>
      </c>
      <c r="D110" s="7" t="s">
        <v>278</v>
      </c>
      <c r="E110" s="19"/>
      <c r="F110" s="19">
        <v>25.43</v>
      </c>
      <c r="G110" s="19">
        <f>F110*1.4</f>
        <v>35.601999999999997</v>
      </c>
      <c r="H110" s="19"/>
    </row>
    <row r="111" spans="1:8" s="9" customFormat="1" x14ac:dyDescent="0.45">
      <c r="A111" s="7" t="s">
        <v>284</v>
      </c>
      <c r="B111" s="33" t="s">
        <v>285</v>
      </c>
      <c r="C111" s="32" t="s">
        <v>286</v>
      </c>
      <c r="D111" s="7" t="s">
        <v>73</v>
      </c>
      <c r="E111" s="19"/>
      <c r="F111" s="19">
        <v>24.95</v>
      </c>
      <c r="G111" s="19">
        <f t="shared" si="12"/>
        <v>34.93</v>
      </c>
      <c r="H111" s="19"/>
    </row>
    <row r="112" spans="1:8" s="9" customFormat="1" x14ac:dyDescent="0.45">
      <c r="A112" s="7" t="s">
        <v>287</v>
      </c>
      <c r="B112" s="18" t="s">
        <v>288</v>
      </c>
      <c r="C112" s="32" t="s">
        <v>264</v>
      </c>
      <c r="D112" s="7" t="s">
        <v>73</v>
      </c>
      <c r="E112" s="19"/>
      <c r="F112" s="19">
        <v>17.05</v>
      </c>
      <c r="G112" s="19">
        <f t="shared" si="12"/>
        <v>23.87</v>
      </c>
      <c r="H112" s="19"/>
    </row>
    <row r="113" spans="1:8" s="9" customFormat="1" x14ac:dyDescent="0.45">
      <c r="A113" s="5" t="s">
        <v>289</v>
      </c>
      <c r="B113" s="6" t="s">
        <v>290</v>
      </c>
      <c r="C113" s="5" t="s">
        <v>291</v>
      </c>
      <c r="D113" s="7" t="s">
        <v>11</v>
      </c>
      <c r="E113" s="8">
        <v>5.16</v>
      </c>
      <c r="F113" s="8"/>
      <c r="G113" s="8">
        <f t="shared" si="10"/>
        <v>7.2239999999999993</v>
      </c>
      <c r="H113" s="8">
        <f t="shared" si="9"/>
        <v>8.2560000000000002</v>
      </c>
    </row>
    <row r="114" spans="1:8" s="9" customFormat="1" x14ac:dyDescent="0.45">
      <c r="A114" s="5" t="s">
        <v>292</v>
      </c>
      <c r="B114" s="6" t="s">
        <v>293</v>
      </c>
      <c r="C114" s="5" t="s">
        <v>208</v>
      </c>
      <c r="D114" s="7" t="s">
        <v>11</v>
      </c>
      <c r="E114" s="8">
        <v>4.0199999999999996</v>
      </c>
      <c r="F114" s="16">
        <v>4.67</v>
      </c>
      <c r="G114" s="8">
        <f t="shared" si="10"/>
        <v>5.6279999999999992</v>
      </c>
      <c r="H114" s="8">
        <f t="shared" si="9"/>
        <v>6.4319999999999995</v>
      </c>
    </row>
    <row r="115" spans="1:8" s="9" customFormat="1" x14ac:dyDescent="0.45">
      <c r="A115" s="5"/>
      <c r="B115" s="6" t="s">
        <v>294</v>
      </c>
      <c r="C115" s="5"/>
      <c r="D115" s="7" t="s">
        <v>11</v>
      </c>
      <c r="E115" s="8"/>
      <c r="F115" s="8"/>
      <c r="G115" s="8">
        <v>45</v>
      </c>
      <c r="H115" s="8"/>
    </row>
    <row r="116" spans="1:8" x14ac:dyDescent="0.45">
      <c r="A116" s="17" t="s">
        <v>295</v>
      </c>
      <c r="B116" s="34" t="s">
        <v>296</v>
      </c>
      <c r="C116" s="17"/>
      <c r="D116" s="5" t="s">
        <v>11</v>
      </c>
      <c r="E116" s="15">
        <v>9.25</v>
      </c>
      <c r="F116" s="15"/>
      <c r="G116" s="15">
        <f>E116*1.4</f>
        <v>12.95</v>
      </c>
      <c r="H116" s="8">
        <f>E116*1.6</f>
        <v>14.8</v>
      </c>
    </row>
    <row r="117" spans="1:8" x14ac:dyDescent="0.45">
      <c r="A117" s="17"/>
      <c r="B117" s="34" t="s">
        <v>297</v>
      </c>
      <c r="C117" s="17"/>
      <c r="D117" s="5" t="s">
        <v>11</v>
      </c>
      <c r="E117" s="15"/>
      <c r="F117" s="15"/>
      <c r="G117" s="15" t="s">
        <v>136</v>
      </c>
      <c r="H117" s="8"/>
    </row>
    <row r="118" spans="1:8" x14ac:dyDescent="0.45">
      <c r="A118" s="17"/>
      <c r="B118" s="34" t="s">
        <v>298</v>
      </c>
      <c r="C118" s="17"/>
      <c r="D118" s="5" t="s">
        <v>73</v>
      </c>
      <c r="E118" s="15"/>
      <c r="F118" s="15"/>
      <c r="G118" s="15" t="s">
        <v>136</v>
      </c>
      <c r="H118" s="8"/>
    </row>
    <row r="119" spans="1:8" ht="14.65" thickBot="1" x14ac:dyDescent="0.5">
      <c r="A119" s="73" t="s">
        <v>299</v>
      </c>
      <c r="B119" s="74"/>
      <c r="C119" s="74"/>
      <c r="D119" s="74"/>
      <c r="E119" s="74"/>
      <c r="F119" s="74"/>
      <c r="G119" s="74"/>
      <c r="H119" s="75"/>
    </row>
    <row r="120" spans="1:8" s="9" customFormat="1" x14ac:dyDescent="0.45">
      <c r="A120" s="7" t="s">
        <v>300</v>
      </c>
      <c r="B120" s="18" t="s">
        <v>301</v>
      </c>
      <c r="C120" s="7" t="s">
        <v>302</v>
      </c>
      <c r="D120" s="7" t="s">
        <v>11</v>
      </c>
      <c r="E120" s="19">
        <v>3.57</v>
      </c>
      <c r="F120" s="19"/>
      <c r="G120" s="19">
        <f t="shared" ref="G120:G125" si="13">E120*1.4</f>
        <v>4.9979999999999993</v>
      </c>
      <c r="H120" s="19">
        <f t="shared" ref="H120:H125" si="14">E120*1.6</f>
        <v>5.7119999999999997</v>
      </c>
    </row>
    <row r="121" spans="1:8" s="9" customFormat="1" x14ac:dyDescent="0.45">
      <c r="A121" s="5" t="s">
        <v>303</v>
      </c>
      <c r="B121" s="6" t="s">
        <v>304</v>
      </c>
      <c r="C121" s="5" t="s">
        <v>305</v>
      </c>
      <c r="D121" s="7" t="s">
        <v>11</v>
      </c>
      <c r="E121" s="8">
        <v>2.5299999999999998</v>
      </c>
      <c r="F121" s="8">
        <v>2.5299999999999998</v>
      </c>
      <c r="G121" s="8">
        <f t="shared" si="13"/>
        <v>3.5419999999999994</v>
      </c>
      <c r="H121" s="8">
        <f t="shared" si="14"/>
        <v>4.048</v>
      </c>
    </row>
    <row r="122" spans="1:8" s="9" customFormat="1" x14ac:dyDescent="0.45">
      <c r="A122" s="5" t="s">
        <v>306</v>
      </c>
      <c r="B122" s="6" t="s">
        <v>307</v>
      </c>
      <c r="C122" s="5" t="s">
        <v>305</v>
      </c>
      <c r="D122" s="7" t="s">
        <v>11</v>
      </c>
      <c r="E122" s="8">
        <v>2.5299999999999998</v>
      </c>
      <c r="F122" s="8">
        <v>2.5299999999999998</v>
      </c>
      <c r="G122" s="8">
        <f t="shared" si="13"/>
        <v>3.5419999999999994</v>
      </c>
      <c r="H122" s="8">
        <f t="shared" si="14"/>
        <v>4.048</v>
      </c>
    </row>
    <row r="123" spans="1:8" s="9" customFormat="1" x14ac:dyDescent="0.45">
      <c r="A123" s="5" t="s">
        <v>308</v>
      </c>
      <c r="B123" s="6" t="s">
        <v>309</v>
      </c>
      <c r="C123" s="5" t="s">
        <v>310</v>
      </c>
      <c r="D123" s="7" t="s">
        <v>11</v>
      </c>
      <c r="E123" s="8">
        <v>2.25</v>
      </c>
      <c r="F123" s="8"/>
      <c r="G123" s="8">
        <f>E123*1.4</f>
        <v>3.15</v>
      </c>
      <c r="H123" s="8">
        <f>E123*1.6</f>
        <v>3.6</v>
      </c>
    </row>
    <row r="124" spans="1:8" s="9" customFormat="1" x14ac:dyDescent="0.45">
      <c r="A124" s="5" t="s">
        <v>311</v>
      </c>
      <c r="B124" s="6" t="s">
        <v>312</v>
      </c>
      <c r="C124" s="5" t="s">
        <v>313</v>
      </c>
      <c r="D124" s="7" t="s">
        <v>11</v>
      </c>
      <c r="E124" s="8">
        <v>2.74</v>
      </c>
      <c r="F124" s="8">
        <v>2.74</v>
      </c>
      <c r="G124" s="8">
        <f t="shared" si="13"/>
        <v>3.8359999999999999</v>
      </c>
      <c r="H124" s="8">
        <f t="shared" si="14"/>
        <v>4.3840000000000003</v>
      </c>
    </row>
    <row r="125" spans="1:8" s="9" customFormat="1" x14ac:dyDescent="0.45">
      <c r="A125" s="5" t="s">
        <v>314</v>
      </c>
      <c r="B125" s="6" t="s">
        <v>315</v>
      </c>
      <c r="C125" s="5" t="s">
        <v>313</v>
      </c>
      <c r="D125" s="7" t="s">
        <v>11</v>
      </c>
      <c r="E125" s="8">
        <v>2.52</v>
      </c>
      <c r="F125" s="8">
        <v>2.52</v>
      </c>
      <c r="G125" s="8">
        <f t="shared" si="13"/>
        <v>3.5279999999999996</v>
      </c>
      <c r="H125" s="8">
        <f t="shared" si="14"/>
        <v>4.032</v>
      </c>
    </row>
    <row r="126" spans="1:8" s="9" customFormat="1" x14ac:dyDescent="0.45">
      <c r="A126" s="5" t="s">
        <v>316</v>
      </c>
      <c r="B126" s="6" t="s">
        <v>317</v>
      </c>
      <c r="C126" s="5" t="s">
        <v>310</v>
      </c>
      <c r="D126" s="7" t="s">
        <v>11</v>
      </c>
      <c r="E126" s="8">
        <v>2.75</v>
      </c>
      <c r="F126" s="10">
        <v>2.38</v>
      </c>
      <c r="G126" s="8">
        <f>E126*1.4</f>
        <v>3.8499999999999996</v>
      </c>
      <c r="H126" s="8"/>
    </row>
    <row r="127" spans="1:8" s="9" customFormat="1" x14ac:dyDescent="0.45">
      <c r="A127" s="5" t="s">
        <v>318</v>
      </c>
      <c r="B127" s="6" t="s">
        <v>319</v>
      </c>
      <c r="C127" s="5" t="s">
        <v>320</v>
      </c>
      <c r="D127" s="7" t="s">
        <v>11</v>
      </c>
      <c r="E127" s="8">
        <v>2.3199999999999998</v>
      </c>
      <c r="F127" s="8"/>
      <c r="G127" s="8">
        <f>E127*1.4</f>
        <v>3.2479999999999998</v>
      </c>
      <c r="H127" s="8">
        <f>E127*1.6</f>
        <v>3.7119999999999997</v>
      </c>
    </row>
    <row r="128" spans="1:8" s="9" customFormat="1" x14ac:dyDescent="0.45">
      <c r="A128" s="5" t="s">
        <v>321</v>
      </c>
      <c r="B128" s="6" t="s">
        <v>322</v>
      </c>
      <c r="C128" s="5" t="s">
        <v>46</v>
      </c>
      <c r="D128" s="7" t="s">
        <v>11</v>
      </c>
      <c r="E128" s="8">
        <v>5.35</v>
      </c>
      <c r="F128" s="8"/>
      <c r="G128" s="8">
        <f>E128*1.4</f>
        <v>7.4899999999999993</v>
      </c>
      <c r="H128" s="8">
        <f>E128*1.6</f>
        <v>8.56</v>
      </c>
    </row>
    <row r="129" spans="1:8" s="9" customFormat="1" x14ac:dyDescent="0.45">
      <c r="A129" s="5" t="s">
        <v>323</v>
      </c>
      <c r="B129" s="6" t="s">
        <v>324</v>
      </c>
      <c r="C129" s="5" t="s">
        <v>313</v>
      </c>
      <c r="D129" s="7" t="s">
        <v>11</v>
      </c>
      <c r="E129" s="8"/>
      <c r="F129" s="8">
        <v>2.6</v>
      </c>
      <c r="G129" s="8">
        <f>F129*1.4</f>
        <v>3.6399999999999997</v>
      </c>
      <c r="H129" s="8">
        <f>F129*1.6</f>
        <v>4.16</v>
      </c>
    </row>
    <row r="130" spans="1:8" s="9" customFormat="1" x14ac:dyDescent="0.45">
      <c r="A130" s="5" t="s">
        <v>325</v>
      </c>
      <c r="B130" s="6" t="s">
        <v>326</v>
      </c>
      <c r="C130" s="5" t="s">
        <v>327</v>
      </c>
      <c r="D130" s="7" t="s">
        <v>11</v>
      </c>
      <c r="E130" s="8">
        <v>2.81</v>
      </c>
      <c r="F130" s="8">
        <v>2.81</v>
      </c>
      <c r="G130" s="8">
        <f>E130*1.4</f>
        <v>3.9339999999999997</v>
      </c>
      <c r="H130" s="8">
        <f>E130*1.6</f>
        <v>4.4960000000000004</v>
      </c>
    </row>
    <row r="131" spans="1:8" s="9" customFormat="1" x14ac:dyDescent="0.45">
      <c r="A131" s="5" t="s">
        <v>328</v>
      </c>
      <c r="B131" s="6" t="s">
        <v>329</v>
      </c>
      <c r="C131" s="5" t="s">
        <v>330</v>
      </c>
      <c r="D131" s="7" t="s">
        <v>73</v>
      </c>
      <c r="E131" s="8"/>
      <c r="F131" s="8">
        <v>3.6</v>
      </c>
      <c r="G131" s="8">
        <f>F131*1.4</f>
        <v>5.04</v>
      </c>
      <c r="H131" s="8">
        <f>F131*1.6</f>
        <v>5.7600000000000007</v>
      </c>
    </row>
    <row r="132" spans="1:8" s="9" customFormat="1" x14ac:dyDescent="0.45">
      <c r="A132" s="5" t="s">
        <v>331</v>
      </c>
      <c r="B132" s="6" t="s">
        <v>332</v>
      </c>
      <c r="C132" s="5" t="s">
        <v>197</v>
      </c>
      <c r="D132" s="7" t="s">
        <v>11</v>
      </c>
      <c r="E132" s="8">
        <v>2.62</v>
      </c>
      <c r="F132" s="8"/>
      <c r="G132" s="8">
        <f>E132*1.4</f>
        <v>3.6679999999999997</v>
      </c>
      <c r="H132" s="8">
        <f>E132*1.6</f>
        <v>4.1920000000000002</v>
      </c>
    </row>
    <row r="133" spans="1:8" s="9" customFormat="1" x14ac:dyDescent="0.45">
      <c r="A133" s="5" t="s">
        <v>333</v>
      </c>
      <c r="B133" s="6" t="s">
        <v>334</v>
      </c>
      <c r="C133" s="5" t="s">
        <v>267</v>
      </c>
      <c r="D133" s="7" t="s">
        <v>11</v>
      </c>
      <c r="E133" s="8">
        <v>6.6</v>
      </c>
      <c r="F133" s="8"/>
      <c r="G133" s="8">
        <f>E133*1.4</f>
        <v>9.2399999999999984</v>
      </c>
      <c r="H133" s="8">
        <f>E133*1.6</f>
        <v>10.56</v>
      </c>
    </row>
    <row r="134" spans="1:8" s="9" customFormat="1" ht="14.65" thickBot="1" x14ac:dyDescent="0.5">
      <c r="A134" s="5" t="s">
        <v>335</v>
      </c>
      <c r="B134" s="6" t="s">
        <v>336</v>
      </c>
      <c r="C134" s="5" t="s">
        <v>337</v>
      </c>
      <c r="D134" s="7" t="s">
        <v>11</v>
      </c>
      <c r="E134" s="8">
        <v>3.77</v>
      </c>
      <c r="F134" s="8"/>
      <c r="G134" s="8">
        <f>E134*1.4</f>
        <v>5.2779999999999996</v>
      </c>
      <c r="H134" s="8">
        <f>E134*1.6</f>
        <v>6.032</v>
      </c>
    </row>
    <row r="135" spans="1:8" ht="14.65" thickBot="1" x14ac:dyDescent="0.5">
      <c r="A135" s="49" t="s">
        <v>338</v>
      </c>
      <c r="B135" s="50"/>
      <c r="C135" s="50"/>
      <c r="D135" s="50"/>
      <c r="E135" s="50"/>
      <c r="F135" s="50"/>
      <c r="G135" s="50"/>
      <c r="H135" s="51"/>
    </row>
    <row r="136" spans="1:8" s="9" customFormat="1" x14ac:dyDescent="0.45">
      <c r="A136" s="5"/>
      <c r="B136" s="6" t="s">
        <v>339</v>
      </c>
      <c r="C136" s="5"/>
      <c r="D136" s="7" t="s">
        <v>11</v>
      </c>
      <c r="E136" s="8"/>
      <c r="F136" s="8"/>
      <c r="G136" s="15">
        <v>19</v>
      </c>
      <c r="H136" s="35" t="s">
        <v>340</v>
      </c>
    </row>
    <row r="137" spans="1:8" s="9" customFormat="1" x14ac:dyDescent="0.45">
      <c r="A137" s="5"/>
      <c r="B137" s="6" t="s">
        <v>341</v>
      </c>
      <c r="C137" s="5"/>
      <c r="D137" s="7" t="s">
        <v>11</v>
      </c>
      <c r="E137" s="8"/>
      <c r="F137" s="8"/>
      <c r="G137" s="15">
        <v>19</v>
      </c>
      <c r="H137" s="35" t="s">
        <v>340</v>
      </c>
    </row>
    <row r="138" spans="1:8" s="9" customFormat="1" ht="13.9" customHeight="1" x14ac:dyDescent="0.45">
      <c r="A138" s="5"/>
      <c r="B138" s="6" t="s">
        <v>342</v>
      </c>
      <c r="C138" s="5"/>
      <c r="D138" s="7" t="s">
        <v>11</v>
      </c>
      <c r="E138" s="8"/>
      <c r="F138" s="8"/>
      <c r="G138" s="36" t="s">
        <v>340</v>
      </c>
      <c r="H138" s="35" t="s">
        <v>340</v>
      </c>
    </row>
    <row r="139" spans="1:8" s="9" customFormat="1" ht="14.65" thickBot="1" x14ac:dyDescent="0.5">
      <c r="A139" s="5"/>
      <c r="B139" s="6" t="s">
        <v>343</v>
      </c>
      <c r="C139" s="5"/>
      <c r="D139" s="7" t="s">
        <v>11</v>
      </c>
      <c r="E139" s="8"/>
      <c r="F139" s="8"/>
      <c r="G139" s="36" t="s">
        <v>340</v>
      </c>
      <c r="H139" s="35" t="s">
        <v>340</v>
      </c>
    </row>
    <row r="140" spans="1:8" s="9" customFormat="1" ht="14.65" thickBot="1" x14ac:dyDescent="0.5">
      <c r="A140" s="49" t="s">
        <v>344</v>
      </c>
      <c r="B140" s="50"/>
      <c r="C140" s="50"/>
      <c r="D140" s="50"/>
      <c r="E140" s="50"/>
      <c r="F140" s="50"/>
      <c r="G140" s="50"/>
      <c r="H140" s="51"/>
    </row>
    <row r="141" spans="1:8" s="9" customFormat="1" x14ac:dyDescent="0.45">
      <c r="A141" s="7"/>
      <c r="B141" s="18" t="s">
        <v>345</v>
      </c>
      <c r="C141" s="7"/>
      <c r="D141" s="7" t="s">
        <v>11</v>
      </c>
      <c r="E141" s="19"/>
      <c r="F141" s="19"/>
      <c r="G141" s="37">
        <v>210</v>
      </c>
      <c r="H141" s="38" t="s">
        <v>340</v>
      </c>
    </row>
    <row r="142" spans="1:8" s="9" customFormat="1" x14ac:dyDescent="0.45">
      <c r="A142" s="5"/>
      <c r="B142" s="6" t="s">
        <v>346</v>
      </c>
      <c r="C142" s="5"/>
      <c r="D142" s="7" t="s">
        <v>11</v>
      </c>
      <c r="E142" s="8"/>
      <c r="F142" s="8"/>
      <c r="G142" s="36" t="s">
        <v>340</v>
      </c>
      <c r="H142" s="35" t="s">
        <v>340</v>
      </c>
    </row>
    <row r="143" spans="1:8" s="9" customFormat="1" ht="13.9" customHeight="1" x14ac:dyDescent="0.45">
      <c r="A143" s="5"/>
      <c r="B143" s="6" t="s">
        <v>347</v>
      </c>
      <c r="C143" s="5"/>
      <c r="D143" s="7" t="s">
        <v>11</v>
      </c>
      <c r="E143" s="8"/>
      <c r="F143" s="8"/>
      <c r="G143" s="36" t="s">
        <v>340</v>
      </c>
      <c r="H143" s="35" t="s">
        <v>340</v>
      </c>
    </row>
    <row r="144" spans="1:8" s="9" customFormat="1" x14ac:dyDescent="0.45">
      <c r="A144" s="5"/>
      <c r="B144" s="6" t="s">
        <v>348</v>
      </c>
      <c r="C144" s="5"/>
      <c r="D144" s="7" t="s">
        <v>11</v>
      </c>
      <c r="E144" s="8"/>
      <c r="F144" s="8"/>
      <c r="G144" s="36" t="s">
        <v>340</v>
      </c>
      <c r="H144" s="35" t="s">
        <v>340</v>
      </c>
    </row>
    <row r="145" spans="1:8" s="9" customFormat="1" ht="14.65" thickBot="1" x14ac:dyDescent="0.5">
      <c r="A145" s="11"/>
      <c r="B145" s="12" t="s">
        <v>349</v>
      </c>
      <c r="C145" s="11"/>
      <c r="D145" s="7" t="s">
        <v>11</v>
      </c>
      <c r="E145" s="14"/>
      <c r="F145" s="14"/>
      <c r="G145" s="39" t="s">
        <v>340</v>
      </c>
      <c r="H145" s="40" t="s">
        <v>340</v>
      </c>
    </row>
    <row r="146" spans="1:8" s="9" customFormat="1" ht="14.65" thickBot="1" x14ac:dyDescent="0.5">
      <c r="A146" s="49" t="s">
        <v>350</v>
      </c>
      <c r="B146" s="50"/>
      <c r="C146" s="50"/>
      <c r="D146" s="50"/>
      <c r="E146" s="50"/>
      <c r="F146" s="50"/>
      <c r="G146" s="50"/>
      <c r="H146" s="51"/>
    </row>
    <row r="147" spans="1:8" s="9" customFormat="1" x14ac:dyDescent="0.45">
      <c r="A147" s="7"/>
      <c r="B147" s="18" t="s">
        <v>351</v>
      </c>
      <c r="C147" s="7"/>
      <c r="D147" s="7" t="s">
        <v>11</v>
      </c>
      <c r="E147" s="19"/>
      <c r="F147" s="19"/>
      <c r="G147" s="41">
        <v>17</v>
      </c>
      <c r="H147" s="38" t="s">
        <v>340</v>
      </c>
    </row>
    <row r="148" spans="1:8" s="9" customFormat="1" x14ac:dyDescent="0.45">
      <c r="A148" s="5"/>
      <c r="B148" s="6" t="s">
        <v>352</v>
      </c>
      <c r="C148" s="5"/>
      <c r="D148" s="7" t="s">
        <v>11</v>
      </c>
      <c r="E148" s="8"/>
      <c r="F148" s="8"/>
      <c r="G148" s="36" t="s">
        <v>340</v>
      </c>
      <c r="H148" s="35" t="s">
        <v>340</v>
      </c>
    </row>
    <row r="149" spans="1:8" s="9" customFormat="1" x14ac:dyDescent="0.45">
      <c r="A149" s="5"/>
      <c r="B149" s="6" t="s">
        <v>353</v>
      </c>
      <c r="C149" s="5"/>
      <c r="D149" s="7" t="s">
        <v>11</v>
      </c>
      <c r="E149" s="8"/>
      <c r="F149" s="8"/>
      <c r="G149" s="36" t="s">
        <v>340</v>
      </c>
      <c r="H149" s="35" t="s">
        <v>340</v>
      </c>
    </row>
    <row r="150" spans="1:8" s="9" customFormat="1" ht="14.65" thickBot="1" x14ac:dyDescent="0.5">
      <c r="A150" s="52" t="s">
        <v>354</v>
      </c>
      <c r="B150" s="53"/>
      <c r="C150" s="53"/>
      <c r="D150" s="53"/>
      <c r="E150" s="53"/>
      <c r="F150" s="53"/>
      <c r="G150" s="53"/>
      <c r="H150" s="54"/>
    </row>
    <row r="151" spans="1:8" s="9" customFormat="1" x14ac:dyDescent="0.45">
      <c r="A151" s="7" t="s">
        <v>355</v>
      </c>
      <c r="B151" s="42" t="s">
        <v>356</v>
      </c>
      <c r="C151" s="7" t="s">
        <v>357</v>
      </c>
      <c r="D151" s="7" t="s">
        <v>11</v>
      </c>
      <c r="E151" s="19">
        <v>19</v>
      </c>
      <c r="F151" s="19"/>
      <c r="G151" s="19">
        <f>E151*1.4</f>
        <v>26.599999999999998</v>
      </c>
      <c r="H151" s="19">
        <v>26.599999999999998</v>
      </c>
    </row>
    <row r="152" spans="1:8" s="9" customFormat="1" x14ac:dyDescent="0.45">
      <c r="A152" s="5" t="s">
        <v>358</v>
      </c>
      <c r="B152" s="43" t="s">
        <v>359</v>
      </c>
      <c r="C152" s="5" t="s">
        <v>357</v>
      </c>
      <c r="D152" s="7" t="s">
        <v>11</v>
      </c>
      <c r="E152" s="8">
        <v>16</v>
      </c>
      <c r="F152" s="8"/>
      <c r="G152" s="8">
        <v>24.9</v>
      </c>
      <c r="H152" s="8">
        <v>24.9</v>
      </c>
    </row>
    <row r="153" spans="1:8" s="9" customFormat="1" x14ac:dyDescent="0.45">
      <c r="A153" s="5"/>
      <c r="B153" s="43" t="s">
        <v>360</v>
      </c>
      <c r="C153" s="5" t="s">
        <v>361</v>
      </c>
      <c r="D153" s="7" t="s">
        <v>11</v>
      </c>
      <c r="E153" s="8">
        <v>11.55</v>
      </c>
      <c r="F153" s="8"/>
      <c r="G153" s="8">
        <v>18.149999999999999</v>
      </c>
      <c r="H153" s="8">
        <v>18.149999999999999</v>
      </c>
    </row>
    <row r="154" spans="1:8" s="9" customFormat="1" x14ac:dyDescent="0.45">
      <c r="A154" s="5"/>
      <c r="B154" s="43" t="s">
        <v>362</v>
      </c>
      <c r="C154" s="5" t="s">
        <v>361</v>
      </c>
      <c r="D154" s="7" t="s">
        <v>11</v>
      </c>
      <c r="E154" s="8">
        <v>10.92</v>
      </c>
      <c r="F154" s="8"/>
      <c r="G154" s="8">
        <v>17.16</v>
      </c>
      <c r="H154" s="8">
        <v>17.16</v>
      </c>
    </row>
    <row r="155" spans="1:8" s="9" customFormat="1" x14ac:dyDescent="0.45">
      <c r="A155" s="5"/>
      <c r="B155" s="43" t="s">
        <v>363</v>
      </c>
      <c r="C155" s="5" t="s">
        <v>361</v>
      </c>
      <c r="D155" s="7" t="s">
        <v>11</v>
      </c>
      <c r="E155" s="8">
        <v>12.95</v>
      </c>
      <c r="F155" s="8"/>
      <c r="G155" s="8">
        <v>20.350000000000001</v>
      </c>
      <c r="H155" s="8">
        <v>20.350000000000001</v>
      </c>
    </row>
    <row r="156" spans="1:8" s="9" customFormat="1" ht="19.5" x14ac:dyDescent="0.45">
      <c r="A156" s="5"/>
      <c r="B156" s="23" t="s">
        <v>364</v>
      </c>
      <c r="C156" s="5" t="s">
        <v>361</v>
      </c>
      <c r="D156" s="7" t="s">
        <v>11</v>
      </c>
      <c r="E156" s="8">
        <v>12.6</v>
      </c>
      <c r="F156" s="8"/>
      <c r="G156" s="8">
        <v>19.8</v>
      </c>
      <c r="H156" s="8">
        <v>19.8</v>
      </c>
    </row>
    <row r="157" spans="1:8" s="9" customFormat="1" ht="19.5" x14ac:dyDescent="0.45">
      <c r="A157" s="5"/>
      <c r="B157" s="23" t="s">
        <v>365</v>
      </c>
      <c r="C157" s="5" t="s">
        <v>366</v>
      </c>
      <c r="D157" s="7" t="s">
        <v>73</v>
      </c>
      <c r="E157" s="8">
        <v>5.43</v>
      </c>
      <c r="F157" s="8"/>
      <c r="G157" s="8">
        <v>8.5299999999999994</v>
      </c>
      <c r="H157" s="8">
        <v>8.5299999999999994</v>
      </c>
    </row>
    <row r="158" spans="1:8" s="9" customFormat="1" ht="19.5" x14ac:dyDescent="0.45">
      <c r="A158" s="5"/>
      <c r="B158" s="23" t="s">
        <v>367</v>
      </c>
      <c r="C158" s="5" t="s">
        <v>366</v>
      </c>
      <c r="D158" s="7" t="s">
        <v>73</v>
      </c>
      <c r="E158" s="8">
        <v>5.43</v>
      </c>
      <c r="F158" s="8"/>
      <c r="G158" s="8">
        <v>8.5299999999999994</v>
      </c>
      <c r="H158" s="8">
        <v>8.5299999999999994</v>
      </c>
    </row>
    <row r="159" spans="1:8" s="9" customFormat="1" ht="19.5" x14ac:dyDescent="0.45">
      <c r="A159" s="5"/>
      <c r="B159" s="23" t="s">
        <v>368</v>
      </c>
      <c r="C159" s="5" t="s">
        <v>366</v>
      </c>
      <c r="D159" s="7" t="s">
        <v>73</v>
      </c>
      <c r="E159" s="8">
        <v>5.43</v>
      </c>
      <c r="F159" s="8"/>
      <c r="G159" s="8">
        <v>8.5299999999999994</v>
      </c>
      <c r="H159" s="8">
        <v>8.5299999999999994</v>
      </c>
    </row>
    <row r="160" spans="1:8" s="9" customFormat="1" ht="19.5" x14ac:dyDescent="0.45">
      <c r="A160" s="5"/>
      <c r="B160" s="23" t="s">
        <v>369</v>
      </c>
      <c r="C160" s="5" t="s">
        <v>366</v>
      </c>
      <c r="D160" s="7" t="s">
        <v>73</v>
      </c>
      <c r="E160" s="8">
        <v>5.43</v>
      </c>
      <c r="F160" s="8"/>
      <c r="G160" s="8">
        <v>8.5299999999999994</v>
      </c>
      <c r="H160" s="8">
        <v>8.5299999999999994</v>
      </c>
    </row>
    <row r="161" spans="1:8" s="9" customFormat="1" ht="19.5" x14ac:dyDescent="0.45">
      <c r="A161" s="5"/>
      <c r="B161" s="23" t="s">
        <v>370</v>
      </c>
      <c r="C161" s="5" t="s">
        <v>366</v>
      </c>
      <c r="D161" s="7" t="s">
        <v>73</v>
      </c>
      <c r="E161" s="8">
        <v>5.43</v>
      </c>
      <c r="F161" s="8"/>
      <c r="G161" s="8">
        <v>8.5299999999999994</v>
      </c>
      <c r="H161" s="8">
        <v>8.5299999999999994</v>
      </c>
    </row>
    <row r="162" spans="1:8" s="9" customFormat="1" x14ac:dyDescent="0.45">
      <c r="A162" s="5"/>
      <c r="B162" s="43" t="s">
        <v>371</v>
      </c>
      <c r="C162" s="5" t="s">
        <v>366</v>
      </c>
      <c r="D162" s="7" t="s">
        <v>73</v>
      </c>
      <c r="E162" s="8">
        <v>4.83</v>
      </c>
      <c r="F162" s="8"/>
      <c r="G162" s="8">
        <v>7.59</v>
      </c>
      <c r="H162" s="8">
        <v>7.59</v>
      </c>
    </row>
    <row r="163" spans="1:8" s="9" customFormat="1" x14ac:dyDescent="0.45">
      <c r="A163" s="5"/>
      <c r="B163" s="43" t="s">
        <v>372</v>
      </c>
      <c r="C163" s="5" t="s">
        <v>366</v>
      </c>
      <c r="D163" s="7" t="s">
        <v>73</v>
      </c>
      <c r="E163" s="8">
        <v>4.83</v>
      </c>
      <c r="F163" s="8"/>
      <c r="G163" s="8">
        <v>7.59</v>
      </c>
      <c r="H163" s="8">
        <v>7.59</v>
      </c>
    </row>
    <row r="164" spans="1:8" s="9" customFormat="1" x14ac:dyDescent="0.45">
      <c r="A164" s="5"/>
      <c r="B164" s="43" t="s">
        <v>373</v>
      </c>
      <c r="C164" s="5" t="s">
        <v>366</v>
      </c>
      <c r="D164" s="7" t="s">
        <v>73</v>
      </c>
      <c r="E164" s="8">
        <v>4.83</v>
      </c>
      <c r="F164" s="8"/>
      <c r="G164" s="8">
        <v>7.59</v>
      </c>
      <c r="H164" s="8">
        <v>7.59</v>
      </c>
    </row>
    <row r="165" spans="1:8" s="9" customFormat="1" x14ac:dyDescent="0.45">
      <c r="A165" s="5"/>
      <c r="B165" s="43" t="s">
        <v>374</v>
      </c>
      <c r="C165" s="5" t="s">
        <v>366</v>
      </c>
      <c r="D165" s="7" t="s">
        <v>73</v>
      </c>
      <c r="E165" s="8">
        <v>4.83</v>
      </c>
      <c r="F165" s="8"/>
      <c r="G165" s="8">
        <v>7.59</v>
      </c>
      <c r="H165" s="8">
        <v>7.59</v>
      </c>
    </row>
    <row r="166" spans="1:8" s="9" customFormat="1" x14ac:dyDescent="0.45">
      <c r="A166" s="5"/>
      <c r="B166" s="43" t="s">
        <v>375</v>
      </c>
      <c r="C166" s="5" t="s">
        <v>366</v>
      </c>
      <c r="D166" s="7" t="s">
        <v>73</v>
      </c>
      <c r="E166" s="8">
        <v>4.83</v>
      </c>
      <c r="F166" s="8"/>
      <c r="G166" s="8">
        <v>7.59</v>
      </c>
      <c r="H166" s="8">
        <v>7.59</v>
      </c>
    </row>
    <row r="167" spans="1:8" s="9" customFormat="1" x14ac:dyDescent="0.45">
      <c r="A167" s="7"/>
      <c r="B167" s="42" t="s">
        <v>376</v>
      </c>
      <c r="C167" s="7" t="s">
        <v>377</v>
      </c>
      <c r="D167" s="7" t="s">
        <v>73</v>
      </c>
      <c r="E167" s="19">
        <v>12.76</v>
      </c>
      <c r="F167" s="19"/>
      <c r="G167" s="19">
        <v>19.14</v>
      </c>
      <c r="H167" s="19">
        <v>19.14</v>
      </c>
    </row>
    <row r="168" spans="1:8" s="9" customFormat="1" x14ac:dyDescent="0.45">
      <c r="A168" s="5"/>
      <c r="B168" s="43" t="s">
        <v>378</v>
      </c>
      <c r="C168" s="5" t="s">
        <v>379</v>
      </c>
      <c r="D168" s="7" t="s">
        <v>73</v>
      </c>
      <c r="E168" s="8">
        <v>11.16</v>
      </c>
      <c r="F168" s="8"/>
      <c r="G168" s="8">
        <v>16.739999999999998</v>
      </c>
      <c r="H168" s="8">
        <v>16.739999999999998</v>
      </c>
    </row>
    <row r="169" spans="1:8" s="9" customFormat="1" x14ac:dyDescent="0.45">
      <c r="A169" s="5"/>
      <c r="B169" s="43" t="s">
        <v>380</v>
      </c>
      <c r="C169" s="5" t="s">
        <v>379</v>
      </c>
      <c r="D169" s="7" t="s">
        <v>73</v>
      </c>
      <c r="E169" s="8">
        <v>12.76</v>
      </c>
      <c r="F169" s="8"/>
      <c r="G169" s="8">
        <v>19.14</v>
      </c>
      <c r="H169" s="8">
        <v>19.14</v>
      </c>
    </row>
    <row r="170" spans="1:8" s="9" customFormat="1" x14ac:dyDescent="0.45">
      <c r="A170" s="5"/>
      <c r="B170" s="43" t="s">
        <v>381</v>
      </c>
      <c r="C170" s="5" t="s">
        <v>379</v>
      </c>
      <c r="D170" s="7" t="s">
        <v>73</v>
      </c>
      <c r="E170" s="8">
        <v>11.96</v>
      </c>
      <c r="F170" s="8"/>
      <c r="G170" s="8">
        <v>17.940000000000001</v>
      </c>
      <c r="H170" s="8">
        <v>17.940000000000001</v>
      </c>
    </row>
    <row r="171" spans="1:8" s="9" customFormat="1" x14ac:dyDescent="0.45">
      <c r="A171" s="5"/>
      <c r="B171" s="43" t="s">
        <v>382</v>
      </c>
      <c r="C171" s="5" t="s">
        <v>379</v>
      </c>
      <c r="D171" s="7" t="s">
        <v>73</v>
      </c>
      <c r="E171" s="8">
        <v>13.56</v>
      </c>
      <c r="F171" s="8"/>
      <c r="G171" s="8">
        <v>20.34</v>
      </c>
      <c r="H171" s="8">
        <v>20.34</v>
      </c>
    </row>
    <row r="172" spans="1:8" s="9" customFormat="1" x14ac:dyDescent="0.45">
      <c r="A172" s="5"/>
      <c r="B172" s="43" t="s">
        <v>383</v>
      </c>
      <c r="C172" s="5" t="s">
        <v>379</v>
      </c>
      <c r="D172" s="7" t="s">
        <v>73</v>
      </c>
      <c r="E172" s="8">
        <v>14.36</v>
      </c>
      <c r="F172" s="8"/>
      <c r="G172" s="8">
        <v>21.54</v>
      </c>
      <c r="H172" s="8">
        <v>21.54</v>
      </c>
    </row>
    <row r="173" spans="1:8" s="9" customFormat="1" x14ac:dyDescent="0.45">
      <c r="A173" s="5"/>
      <c r="B173" s="43" t="s">
        <v>384</v>
      </c>
      <c r="C173" s="5" t="s">
        <v>379</v>
      </c>
      <c r="D173" s="7" t="s">
        <v>73</v>
      </c>
      <c r="E173" s="8">
        <v>11.96</v>
      </c>
      <c r="F173" s="8"/>
      <c r="G173" s="8">
        <v>17.940000000000001</v>
      </c>
      <c r="H173" s="8">
        <v>17.940000000000001</v>
      </c>
    </row>
    <row r="174" spans="1:8" s="9" customFormat="1" x14ac:dyDescent="0.45">
      <c r="A174" s="5"/>
      <c r="B174" s="43" t="s">
        <v>385</v>
      </c>
      <c r="C174" s="5" t="s">
        <v>379</v>
      </c>
      <c r="D174" s="7" t="s">
        <v>73</v>
      </c>
      <c r="E174" s="8">
        <v>14.36</v>
      </c>
      <c r="F174" s="8"/>
      <c r="G174" s="8">
        <v>21.54</v>
      </c>
      <c r="H174" s="8">
        <v>21.54</v>
      </c>
    </row>
    <row r="175" spans="1:8" s="9" customFormat="1" x14ac:dyDescent="0.45">
      <c r="A175" s="5"/>
      <c r="B175" s="43" t="s">
        <v>386</v>
      </c>
      <c r="C175" s="5" t="s">
        <v>379</v>
      </c>
      <c r="D175" s="7" t="s">
        <v>73</v>
      </c>
      <c r="E175" s="8">
        <v>12.76</v>
      </c>
      <c r="F175" s="8"/>
      <c r="G175" s="8">
        <v>19.14</v>
      </c>
      <c r="H175" s="8">
        <v>19.14</v>
      </c>
    </row>
    <row r="176" spans="1:8" s="9" customFormat="1" x14ac:dyDescent="0.45">
      <c r="A176" s="5"/>
      <c r="B176" s="43" t="s">
        <v>387</v>
      </c>
      <c r="C176" s="5" t="s">
        <v>379</v>
      </c>
      <c r="D176" s="7" t="s">
        <v>73</v>
      </c>
      <c r="E176" s="8">
        <v>7.99</v>
      </c>
      <c r="F176" s="8"/>
      <c r="G176" s="8">
        <v>11.99</v>
      </c>
      <c r="H176" s="8">
        <v>11.99</v>
      </c>
    </row>
    <row r="177" spans="1:8" s="9" customFormat="1" x14ac:dyDescent="0.45">
      <c r="A177" s="5"/>
      <c r="B177" s="43" t="s">
        <v>388</v>
      </c>
      <c r="C177" s="5" t="s">
        <v>379</v>
      </c>
      <c r="D177" s="7" t="s">
        <v>73</v>
      </c>
      <c r="E177" s="8">
        <v>7.99</v>
      </c>
      <c r="F177" s="8"/>
      <c r="G177" s="8">
        <v>11.99</v>
      </c>
      <c r="H177" s="8">
        <v>11.99</v>
      </c>
    </row>
    <row r="178" spans="1:8" s="9" customFormat="1" x14ac:dyDescent="0.45">
      <c r="A178" s="5"/>
      <c r="B178" s="43" t="s">
        <v>389</v>
      </c>
      <c r="C178" s="5" t="s">
        <v>379</v>
      </c>
      <c r="D178" s="7" t="s">
        <v>73</v>
      </c>
      <c r="E178" s="8">
        <v>15.16</v>
      </c>
      <c r="F178" s="8"/>
      <c r="G178" s="8">
        <v>22.74</v>
      </c>
      <c r="H178" s="8">
        <v>22.74</v>
      </c>
    </row>
    <row r="179" spans="1:8" s="9" customFormat="1" x14ac:dyDescent="0.45">
      <c r="A179" s="5"/>
      <c r="B179" s="43" t="s">
        <v>390</v>
      </c>
      <c r="C179" s="5" t="s">
        <v>361</v>
      </c>
      <c r="D179" s="7" t="s">
        <v>73</v>
      </c>
      <c r="E179" s="8">
        <v>14.175000000000001</v>
      </c>
      <c r="F179" s="8"/>
      <c r="G179" s="8">
        <v>22.68</v>
      </c>
      <c r="H179" s="8">
        <v>22.68</v>
      </c>
    </row>
    <row r="180" spans="1:8" s="9" customFormat="1" x14ac:dyDescent="0.45">
      <c r="A180" s="5"/>
      <c r="B180" s="43" t="s">
        <v>391</v>
      </c>
      <c r="C180" s="5" t="s">
        <v>392</v>
      </c>
      <c r="D180" s="7" t="s">
        <v>73</v>
      </c>
      <c r="E180" s="8">
        <v>4.5999999999999996</v>
      </c>
      <c r="F180" s="8"/>
      <c r="G180" s="8">
        <v>6.9</v>
      </c>
      <c r="H180" s="8">
        <v>6.9</v>
      </c>
    </row>
    <row r="181" spans="1:8" s="9" customFormat="1" x14ac:dyDescent="0.45">
      <c r="A181" s="5"/>
      <c r="B181" s="43" t="s">
        <v>393</v>
      </c>
      <c r="C181" s="5" t="s">
        <v>394</v>
      </c>
      <c r="D181" s="7" t="s">
        <v>73</v>
      </c>
      <c r="E181" s="8">
        <v>7.36</v>
      </c>
      <c r="F181" s="8"/>
      <c r="G181" s="8">
        <v>11.04</v>
      </c>
      <c r="H181" s="8">
        <v>11.04</v>
      </c>
    </row>
    <row r="182" spans="1:8" s="9" customFormat="1" ht="14.65" thickBot="1" x14ac:dyDescent="0.5">
      <c r="A182" s="5"/>
      <c r="B182" s="44" t="s">
        <v>395</v>
      </c>
      <c r="C182" s="5" t="s">
        <v>394</v>
      </c>
      <c r="D182" s="7" t="s">
        <v>73</v>
      </c>
      <c r="E182" s="8">
        <v>6.64</v>
      </c>
      <c r="F182" s="8"/>
      <c r="G182" s="8">
        <v>9.9600000000000009</v>
      </c>
      <c r="H182" s="8">
        <v>9.9600000000000009</v>
      </c>
    </row>
    <row r="183" spans="1:8" s="9" customFormat="1" ht="14.65" thickBot="1" x14ac:dyDescent="0.5">
      <c r="A183" s="55" t="s">
        <v>396</v>
      </c>
      <c r="B183" s="56"/>
      <c r="C183" s="56"/>
      <c r="D183" s="56"/>
      <c r="E183" s="56"/>
      <c r="F183" s="56"/>
      <c r="G183" s="56"/>
      <c r="H183" s="57"/>
    </row>
    <row r="184" spans="1:8" s="9" customFormat="1" x14ac:dyDescent="0.45">
      <c r="A184" s="5" t="s">
        <v>397</v>
      </c>
      <c r="B184" s="6" t="s">
        <v>398</v>
      </c>
      <c r="C184" s="5" t="s">
        <v>399</v>
      </c>
      <c r="D184" s="5" t="s">
        <v>73</v>
      </c>
      <c r="E184" s="8">
        <v>8.5</v>
      </c>
      <c r="F184" s="8"/>
      <c r="G184" s="8">
        <f>E184*1.4</f>
        <v>11.899999999999999</v>
      </c>
      <c r="H184" s="8">
        <f>E184*1.6</f>
        <v>13.600000000000001</v>
      </c>
    </row>
    <row r="185" spans="1:8" s="9" customFormat="1" ht="14.65" thickBot="1" x14ac:dyDescent="0.5">
      <c r="A185" s="5" t="s">
        <v>400</v>
      </c>
      <c r="B185" s="6" t="s">
        <v>401</v>
      </c>
      <c r="C185" s="5" t="s">
        <v>399</v>
      </c>
      <c r="D185" s="5" t="s">
        <v>73</v>
      </c>
      <c r="E185" s="8">
        <v>9.5</v>
      </c>
      <c r="F185" s="8"/>
      <c r="G185" s="8">
        <f>E185*1.4</f>
        <v>13.299999999999999</v>
      </c>
      <c r="H185" s="8">
        <f>E185*1.6</f>
        <v>15.200000000000001</v>
      </c>
    </row>
    <row r="186" spans="1:8" s="9" customFormat="1" ht="14.65" thickBot="1" x14ac:dyDescent="0.5">
      <c r="A186" s="58" t="s">
        <v>402</v>
      </c>
      <c r="B186" s="59"/>
      <c r="C186" s="59"/>
      <c r="D186" s="59"/>
      <c r="E186" s="59"/>
      <c r="F186" s="59"/>
      <c r="G186" s="59"/>
      <c r="H186" s="60"/>
    </row>
    <row r="187" spans="1:8" s="9" customFormat="1" x14ac:dyDescent="0.45">
      <c r="A187" s="5" t="s">
        <v>403</v>
      </c>
      <c r="B187" s="6" t="s">
        <v>404</v>
      </c>
      <c r="C187" s="5" t="s">
        <v>405</v>
      </c>
      <c r="D187" s="7" t="s">
        <v>11</v>
      </c>
      <c r="E187" s="15">
        <v>11.99</v>
      </c>
      <c r="F187" s="15"/>
      <c r="G187" s="8">
        <v>17.899999999999999</v>
      </c>
      <c r="H187" s="19">
        <v>18.5</v>
      </c>
    </row>
    <row r="188" spans="1:8" s="9" customFormat="1" x14ac:dyDescent="0.45">
      <c r="A188" s="5" t="s">
        <v>406</v>
      </c>
      <c r="B188" s="6" t="s">
        <v>407</v>
      </c>
      <c r="C188" s="5" t="s">
        <v>405</v>
      </c>
      <c r="D188" s="7" t="s">
        <v>11</v>
      </c>
      <c r="E188" s="15">
        <v>11.99</v>
      </c>
      <c r="F188" s="15"/>
      <c r="G188" s="8">
        <v>21.5</v>
      </c>
      <c r="H188" s="19">
        <v>21.5</v>
      </c>
    </row>
    <row r="189" spans="1:8" s="9" customFormat="1" x14ac:dyDescent="0.45">
      <c r="A189" s="5" t="s">
        <v>408</v>
      </c>
      <c r="B189" s="6" t="s">
        <v>409</v>
      </c>
      <c r="C189" s="5" t="s">
        <v>410</v>
      </c>
      <c r="D189" s="7" t="s">
        <v>11</v>
      </c>
      <c r="E189" s="15">
        <v>13.5</v>
      </c>
      <c r="F189" s="15"/>
      <c r="G189" s="15">
        <v>19.5</v>
      </c>
      <c r="H189" s="19">
        <v>20</v>
      </c>
    </row>
    <row r="190" spans="1:8" s="9" customFormat="1" x14ac:dyDescent="0.45">
      <c r="A190" s="5" t="s">
        <v>411</v>
      </c>
      <c r="B190" s="6" t="s">
        <v>412</v>
      </c>
      <c r="C190" s="5" t="s">
        <v>405</v>
      </c>
      <c r="D190" s="7" t="s">
        <v>11</v>
      </c>
      <c r="E190" s="8">
        <v>12.7</v>
      </c>
      <c r="F190" s="8"/>
      <c r="G190" s="8">
        <v>19</v>
      </c>
      <c r="H190" s="19">
        <v>19</v>
      </c>
    </row>
    <row r="191" spans="1:8" s="9" customFormat="1" x14ac:dyDescent="0.45">
      <c r="A191" s="5" t="s">
        <v>413</v>
      </c>
      <c r="B191" s="6" t="s">
        <v>414</v>
      </c>
      <c r="C191" s="5" t="s">
        <v>405</v>
      </c>
      <c r="D191" s="7" t="s">
        <v>11</v>
      </c>
      <c r="E191" s="8">
        <v>10.199999999999999</v>
      </c>
      <c r="F191" s="8"/>
      <c r="G191" s="8">
        <v>19</v>
      </c>
      <c r="H191" s="19">
        <v>19</v>
      </c>
    </row>
    <row r="192" spans="1:8" s="9" customFormat="1" x14ac:dyDescent="0.45">
      <c r="A192" s="5" t="s">
        <v>415</v>
      </c>
      <c r="B192" s="6" t="s">
        <v>416</v>
      </c>
      <c r="C192" s="5" t="s">
        <v>417</v>
      </c>
      <c r="D192" s="7" t="s">
        <v>73</v>
      </c>
      <c r="E192" s="8">
        <v>21.9</v>
      </c>
      <c r="F192" s="8"/>
      <c r="G192" s="8">
        <v>35.700000000000003</v>
      </c>
      <c r="H192" s="8">
        <v>35.700000000000003</v>
      </c>
    </row>
    <row r="193" spans="1:8" s="9" customFormat="1" x14ac:dyDescent="0.45">
      <c r="A193" s="5" t="s">
        <v>418</v>
      </c>
      <c r="B193" s="6" t="s">
        <v>419</v>
      </c>
      <c r="C193" s="5" t="s">
        <v>420</v>
      </c>
      <c r="D193" s="7" t="s">
        <v>73</v>
      </c>
      <c r="E193" s="8">
        <v>1.45</v>
      </c>
      <c r="F193" s="8"/>
      <c r="G193" s="8">
        <f>E193*1.4</f>
        <v>2.0299999999999998</v>
      </c>
      <c r="H193" s="19">
        <v>2.0299999999999998</v>
      </c>
    </row>
    <row r="194" spans="1:8" s="9" customFormat="1" ht="14.65" thickBot="1" x14ac:dyDescent="0.5">
      <c r="A194" s="5" t="s">
        <v>421</v>
      </c>
      <c r="B194" s="6" t="s">
        <v>422</v>
      </c>
      <c r="C194" s="5" t="s">
        <v>423</v>
      </c>
      <c r="D194" s="7" t="s">
        <v>271</v>
      </c>
      <c r="E194" s="8">
        <v>43.9</v>
      </c>
      <c r="F194" s="8"/>
      <c r="G194" s="8">
        <f>E194*1.4</f>
        <v>61.459999999999994</v>
      </c>
      <c r="H194" s="8">
        <v>61.459999999999994</v>
      </c>
    </row>
    <row r="195" spans="1:8" s="9" customFormat="1" ht="14.65" thickBot="1" x14ac:dyDescent="0.5">
      <c r="A195" s="61" t="s">
        <v>424</v>
      </c>
      <c r="B195" s="62"/>
      <c r="C195" s="62"/>
      <c r="D195" s="62"/>
      <c r="E195" s="62"/>
      <c r="F195" s="62"/>
      <c r="G195" s="62"/>
      <c r="H195" s="63"/>
    </row>
    <row r="196" spans="1:8" s="9" customFormat="1" x14ac:dyDescent="0.45">
      <c r="A196" s="5"/>
      <c r="B196" s="6" t="s">
        <v>425</v>
      </c>
      <c r="C196" s="45"/>
      <c r="D196" s="7" t="s">
        <v>73</v>
      </c>
      <c r="E196" s="8"/>
      <c r="F196" s="8"/>
      <c r="G196" s="8"/>
      <c r="H196" s="8">
        <v>77.569999999999993</v>
      </c>
    </row>
    <row r="197" spans="1:8" s="9" customFormat="1" x14ac:dyDescent="0.45">
      <c r="A197" s="5">
        <v>85233</v>
      </c>
      <c r="B197" s="6" t="s">
        <v>426</v>
      </c>
      <c r="C197" s="45"/>
      <c r="D197" s="7" t="s">
        <v>73</v>
      </c>
      <c r="E197" s="8"/>
      <c r="F197" s="8"/>
      <c r="G197" s="8"/>
      <c r="H197" s="8">
        <v>26.5</v>
      </c>
    </row>
    <row r="200" spans="1:8" x14ac:dyDescent="0.45">
      <c r="A200" s="46" t="s">
        <v>136</v>
      </c>
      <c r="B200" s="47" t="s">
        <v>427</v>
      </c>
    </row>
    <row r="201" spans="1:8" x14ac:dyDescent="0.45">
      <c r="A201" s="46" t="s">
        <v>340</v>
      </c>
      <c r="B201" s="47" t="s">
        <v>428</v>
      </c>
    </row>
  </sheetData>
  <mergeCells count="17">
    <mergeCell ref="A140:H140"/>
    <mergeCell ref="A1:H1"/>
    <mergeCell ref="A3:H3"/>
    <mergeCell ref="A25:H25"/>
    <mergeCell ref="A29:H29"/>
    <mergeCell ref="A43:H43"/>
    <mergeCell ref="A56:H56"/>
    <mergeCell ref="A68:H68"/>
    <mergeCell ref="A72:H72"/>
    <mergeCell ref="A90:H90"/>
    <mergeCell ref="A119:H119"/>
    <mergeCell ref="A135:H135"/>
    <mergeCell ref="A146:H146"/>
    <mergeCell ref="A150:H150"/>
    <mergeCell ref="A183:H183"/>
    <mergeCell ref="A186:H186"/>
    <mergeCell ref="A195:H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DESPINA K</dc:creator>
  <cp:lastModifiedBy>DESPINA K</cp:lastModifiedBy>
  <dcterms:created xsi:type="dcterms:W3CDTF">2026-04-23T08:17:37Z</dcterms:created>
  <dcterms:modified xsi:type="dcterms:W3CDTF">2026-04-23T08:21:34Z</dcterms:modified>
</cp:coreProperties>
</file>